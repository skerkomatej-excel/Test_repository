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Theador\Desktop\Leveling\Data analytics\Excel course - Luke Barousse\2_Formulas_Functions\"/>
    </mc:Choice>
  </mc:AlternateContent>
  <xr:revisionPtr revIDLastSave="0" documentId="13_ncr:1_{69D7099E-8BDF-4FF7-918B-35406458B709}" xr6:coauthVersionLast="47" xr6:coauthVersionMax="47" xr10:uidLastSave="{00000000-0000-0000-0000-000000000000}"/>
  <bookViews>
    <workbookView xWindow="-108" yWindow="-108" windowWidth="23256" windowHeight="12456" activeTab="2"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nm._FilterDatabase" localSheetId="4" hidden="1">Skills!$A$27:$B$27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6" i="12" a="1"/>
  <c r="A6" i="12" s="1"/>
  <c r="A3" i="12"/>
  <c r="T3" i="8"/>
  <c r="U3" i="8" s="1"/>
  <c r="T4" i="8"/>
  <c r="T5" i="8"/>
  <c r="T6" i="8"/>
  <c r="U6" i="8" s="1"/>
  <c r="T7" i="8"/>
  <c r="T8" i="8"/>
  <c r="T9" i="8"/>
  <c r="U9" i="8" s="1"/>
  <c r="T10" i="8"/>
  <c r="U10" i="8" s="1"/>
  <c r="T11" i="8"/>
  <c r="T12" i="8"/>
  <c r="U12" i="8" s="1"/>
  <c r="V12" i="8" s="1"/>
  <c r="T13" i="8"/>
  <c r="T14" i="8"/>
  <c r="T15" i="8"/>
  <c r="U15" i="8" s="1"/>
  <c r="V15" i="8" s="1"/>
  <c r="T16" i="8"/>
  <c r="T17" i="8"/>
  <c r="T18" i="8"/>
  <c r="U18" i="8" s="1"/>
  <c r="V18" i="8" s="1"/>
  <c r="T19" i="8"/>
  <c r="T20" i="8"/>
  <c r="T2" i="8"/>
  <c r="U4" i="8"/>
  <c r="U5" i="8"/>
  <c r="V5" i="8" s="1"/>
  <c r="U7" i="8"/>
  <c r="V7" i="8" s="1"/>
  <c r="U8" i="8"/>
  <c r="V8" i="8" s="1"/>
  <c r="U11" i="8"/>
  <c r="U13" i="8"/>
  <c r="V13" i="8" s="1"/>
  <c r="U14" i="8"/>
  <c r="V14" i="8" s="1"/>
  <c r="U16" i="8"/>
  <c r="U17" i="8"/>
  <c r="U19" i="8"/>
  <c r="V19" i="8" s="1"/>
  <c r="U20" i="8"/>
  <c r="V20" i="8" s="1"/>
  <c r="U2" i="8"/>
  <c r="V2" i="8" s="1"/>
  <c r="V17"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s="1"/>
  <c r="Q4" i="8"/>
  <c r="R4" i="8" s="1"/>
  <c r="Q5" i="8"/>
  <c r="R5" i="8" s="1"/>
  <c r="Q6" i="8"/>
  <c r="R6" i="8" s="1"/>
  <c r="Q7" i="8"/>
  <c r="R7" i="8" s="1"/>
  <c r="S7" i="8" s="1"/>
  <c r="Q8" i="8"/>
  <c r="R8" i="8" s="1"/>
  <c r="Q9" i="8"/>
  <c r="Q10" i="8"/>
  <c r="Q11" i="8"/>
  <c r="Q12" i="8"/>
  <c r="Q13" i="8"/>
  <c r="Q14" i="8"/>
  <c r="Q15" i="8"/>
  <c r="Q16" i="8"/>
  <c r="R16" i="8" s="1"/>
  <c r="Q17" i="8"/>
  <c r="R17" i="8" s="1"/>
  <c r="S17" i="8" s="1"/>
  <c r="Q18" i="8"/>
  <c r="R18" i="8" s="1"/>
  <c r="Q19" i="8"/>
  <c r="R19" i="8" s="1"/>
  <c r="S19" i="8" s="1"/>
  <c r="Q20" i="8"/>
  <c r="R20" i="8" s="1"/>
  <c r="Q21" i="8"/>
  <c r="R21" i="8" s="1"/>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9" i="8" l="1"/>
  <c r="V16" i="8"/>
  <c r="V3" i="8"/>
  <c r="V11" i="8"/>
  <c r="V10" i="8"/>
  <c r="V6" i="8"/>
  <c r="V4" i="8"/>
  <c r="S21" i="8"/>
  <c r="S4" i="8"/>
  <c r="S8" i="8"/>
  <c r="S3" i="8"/>
  <c r="S20" i="8"/>
  <c r="S16" i="8"/>
  <c r="S6" i="8"/>
  <c r="S18" i="8"/>
  <c r="S5" i="8"/>
  <c r="R9" i="8"/>
  <c r="S9" i="8" s="1"/>
  <c r="R10" i="8"/>
  <c r="S10" i="8" s="1"/>
  <c r="R11" i="8"/>
  <c r="S11" i="8" s="1"/>
  <c r="R12" i="8"/>
  <c r="S12" i="8" s="1"/>
  <c r="R13" i="8"/>
  <c r="S13" i="8"/>
  <c r="R14" i="8"/>
  <c r="S14" i="8"/>
  <c r="R15" i="8"/>
  <c r="S15" i="8"/>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<sst xmlns="http://schemas.openxmlformats.org/spreadsheetml/2006/main" count="627" uniqueCount="111">
  <si>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</si>
  <si>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</si>
  <si>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</si>
  <si>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</si>
  <si>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</si>
  <si>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</si>
  <si>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</si>
  <si>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</si>
  <si>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</si>
  <si>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</si>
  <si>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</si>
  <si>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</si>
  <si>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</si>
  <si>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</si>
  <si>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</si>
  <si>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</si>
  <si>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</si>
  <si>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</si>
  <si>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</si>
  <si>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</si>
  <si>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</si>
  <si>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</si>
  <si>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</si>
  <si>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</si>
  <si>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</si>
  <si>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</si>
  <si>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</si>
  <si>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</si>
  <si>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</si>
  <si>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</si>
  <si>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</si>
  <si>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</si>
  <si>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</si>
  <si>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</si>
  <si>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</si>
  <si>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</si>
  <si>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</si>
  <si>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</si>
  <si>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</si>
  <si>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</si>
  <si>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</si>
  <si>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</si>
  <si>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</si>
  <si>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</si>
  <si>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</si>
  <si>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</si>
  <si>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</si>
  <si>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</si>
  <si>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</si>
  <si>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</si>
  <si>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</si>
  <si>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</si>
  <si>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</si>
  <si>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</si>
  <si>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</si>
  <si>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</si>
  <si>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</si>
  <si>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</si>
  <si>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</si>
  <si>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</si>
  <si>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</si>
  <si>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</si>
  <si>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</si>
  <si>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</si>
  <si>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</si>
  <si>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</si>
  <si>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</si>
  <si>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</si>
  <si>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</si>
  <si>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</si>
  <si>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</si>
  <si>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</si>
  <si>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</si>
  <si>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</si>
  <si>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</si>
  <si>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</si>
  <si>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</si>
  <si>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</si>
  <si>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</si>
  <si>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</si>
  <si>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</si>
  <si>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</si>
  <si>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</si>
  <si>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</si>
  <si>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</si>
  <si>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</si>
  <si>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</si>
  <si>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</si>
  <si>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</si>
  <si>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</si>
  <si>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</si>
  <si>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</si>
  <si>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=TEXTJOIN(", ", TRUE, Data!H2:H21)</t>
  </si>
  <si>
    <t>Skill</t>
  </si>
  <si>
    <t>Count</t>
  </si>
  <si>
    <t>Kafka</t>
  </si>
  <si>
    <t>DataBricks</t>
  </si>
  <si>
    <t>Spark</t>
  </si>
  <si>
    <t>Python</t>
  </si>
  <si>
    <t>GCP</t>
  </si>
  <si>
    <t>Power BI</t>
  </si>
  <si>
    <t>Airflow</t>
  </si>
  <si>
    <t>Hadoop</t>
  </si>
  <si>
    <t>R</t>
  </si>
  <si>
    <t>Azure</t>
  </si>
  <si>
    <t>Java</t>
  </si>
  <si>
    <t>SQL</t>
  </si>
  <si>
    <t>Snowflake</t>
  </si>
  <si>
    <t>Scala</t>
  </si>
  <si>
    <t>Excel</t>
  </si>
  <si>
    <t>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</si>
</sst>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23">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xf numFmtId="0" fontId="1" fillId="2" borderId="9" xfId="0" applyFont="1" applyFill="1" applyBorder="1"/>
    <xf numFmtId="0" fontId="0" fillId="0" borderId="10" xfId="0" applyBorder="1"/>
    <xf numFmtId="0" fontId="0" fillId="0" borderId="11" xfId="0" applyBorder="1"/>
    <xf numFmtId="0" fontId="1" fillId="2" borderId="12" xfId="0" applyFont="1" applyFill="1" applyBorder="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Skills!$B$27</c:f>
              <c:strCache>
                <c:ptCount val="1"/>
                <c:pt idx="0">
                  <c:v>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Skills!$A$28:$A$44</c:f>
              <c:strCache>
                <c:ptCount val="17"/>
                <c:pt idx="0">
                  <c:v>0</c:v>
                </c:pt>
                <c:pt idx="1">
                  <c:v>Tableau</c:v>
                </c:pt>
                <c:pt idx="2">
                  <c:v>Spark</c:v>
                </c:pt>
                <c:pt idx="3">
                  <c:v>Python</c:v>
                </c:pt>
                <c:pt idx="4">
                  <c:v>Excel</c:v>
                </c:pt>
                <c:pt idx="5">
                  <c:v>Kafka</c:v>
                </c:pt>
                <c:pt idx="6">
                  <c:v>GCP</c:v>
                </c:pt>
                <c:pt idx="7">
                  <c:v>Azure</c:v>
                </c:pt>
                <c:pt idx="8">
                  <c:v>SQL</c:v>
                </c:pt>
                <c:pt idx="9">
                  <c:v>Power BI</c:v>
                </c:pt>
                <c:pt idx="10">
                  <c:v>Snowflake</c:v>
                </c:pt>
                <c:pt idx="11">
                  <c:v>Scala</c:v>
                </c:pt>
                <c:pt idx="12">
                  <c:v>Airflow</c:v>
                </c:pt>
                <c:pt idx="13">
                  <c:v>R</c:v>
                </c:pt>
                <c:pt idx="14">
                  <c:v>Hadoop</c:v>
                </c:pt>
                <c:pt idx="15">
                  <c:v>Java</c:v>
                </c:pt>
                <c:pt idx="16">
                  <c:v>DataBricks</c:v>
                </c:pt>
              </c:strCache>
            </c:strRef>
          </c:cat>
          <c:val>
            <c:numRef>
              <c:f>Skills!$B$28:$B$44</c:f>
              <c:numCache>
                <c:formatCode>General</c:formatCode>
                <c:ptCount val="17"/>
                <c:pt idx="0">
                  <c:v>0</c:v>
                </c:pt>
                <c:pt idx="1">
                  <c:v>1</c:v>
                </c:pt>
                <c:pt idx="2">
                  <c:v>2</c:v>
                </c:pt>
                <c:pt idx="3">
                  <c:v>2</c:v>
                </c:pt>
                <c:pt idx="4">
                  <c:v>2</c:v>
                </c:pt>
                <c:pt idx="5">
                  <c:v>3</c:v>
                </c:pt>
                <c:pt idx="6">
                  <c:v>4</c:v>
                </c:pt>
                <c:pt idx="7">
                  <c:v>4</c:v>
                </c:pt>
                <c:pt idx="8">
                  <c:v>4</c:v>
                </c:pt>
                <c:pt idx="9">
                  <c:v>5</c:v>
                </c:pt>
                <c:pt idx="10">
                  <c:v>5</c:v>
                </c:pt>
                <c:pt idx="11">
                  <c:v>5</c:v>
                </c:pt>
                <c:pt idx="12">
                  <c:v>6</c:v>
                </c:pt>
                <c:pt idx="13">
                  <c:v>6</c:v>
                </c:pt>
                <c:pt idx="14">
                  <c:v>7</c:v>
                </c:pt>
                <c:pt idx="15">
                  <c:v>7</c:v>
                </c:pt>
                <c:pt idx="16">
                  <c:v>12</c:v>
                </c:pt>
              </c:numCache>
            </c:numRef>
          </c:val>
          <c:extLst>
            <c:ext xmlns:c16="http://schemas.microsoft.com/office/drawing/2014/chart" uri="{C3380CC4-5D6E-409C-BE32-E72D297353CC}">
              <c16:uniqueId val="{00000000-646A-4CF7-BC78-DB34303BC0C7}"/>
            </c:ext>
          </c:extLst>
        </c:ser>
        <c:dLbls>
          <c:showLegendKey val="0"/>
          <c:showVal val="0"/>
          <c:showCatName val="0"/>
          <c:showSerName val="0"/>
          <c:showPercent val="0"/>
          <c:showBubbleSize val="0"/>
        </c:dLbls>
        <c:gapWidth val="182"/>
        <c:overlap val="-50"/>
        <c:axId val="1219094719"/>
        <c:axId val="1219095199"/>
      </c:barChart>
      <c:catAx>
        <c:axId val="121909471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9095199"/>
        <c:crosses val="autoZero"/>
        <c:auto val="1"/>
        <c:lblAlgn val="ctr"/>
        <c:lblOffset val="100"/>
        <c:noMultiLvlLbl val="0"/>
      </c:catAx>
      <c:valAx>
        <c:axId val="121909519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909471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12700</xdr:colOff>
      <xdr:row>27</xdr:row>
      <xdr:rowOff>152400</xdr:rowOff>
    </xdr:from>
    <xdr:to>
      <xdr:col>10</xdr:col>
      <xdr:colOff>317500</xdr:colOff>
      <xdr:row>42</xdr:row>
      <xdr:rowOff>133350</xdr:rowOff>
    </xdr:to>
    <xdr:graphicFrame macro="">
      <xdr:nvGraphicFramePr>
        <xdr:cNvPr id="4" name="Chart 3">
          <a:extLst>
            <a:ext uri="{FF2B5EF4-FFF2-40B4-BE49-F238E27FC236}">
              <a16:creationId xmlns:a16="http://schemas.microsoft.com/office/drawing/2014/main" id="{0FA7E3E4-3732-A154-39F5-C9DD3CE77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4" sqref="H4"/>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55.77734375" customWidth="1"/>
    <col min="11" max="11" width="8.88671875" customWidth="1"/>
    <col min="12" max="12" width="13.33203125" customWidth="1"/>
    <col min="13" max="13" width="15.44140625" customWidth="1"/>
    <col min="14" max="14" width="8.88671875" customWidth="1"/>
    <col min="15" max="15" width="16.44140625" customWidth="1"/>
    <col min="17" max="19" width="8.88671875" customWidth="1"/>
  </cols>
  <sheetData>
    <row r="1" spans="1:22" x14ac:dyDescent="0.3">
      <c r="A1" s="2" t="s">
        <v>68</v>
      </c>
      <c r="B1" s="3" t="s">
        <v>2</v>
      </c>
      <c r="C1" s="3" t="s">
        <v>3</v>
      </c>
      <c r="D1" s="10" t="s">
        <v>91</v>
      </c>
      <c r="E1" s="3" t="s">
        <v>0</v>
      </c>
      <c r="F1" s="3" t="s">
        <v>21</v>
      </c>
      <c r="G1" s="3" t="s">
        <v>22</v>
      </c>
      <c r="H1" s="4" t="s">
        <v>4</v>
      </c>
      <c r="J1" s="18" t="s">
        <v>62</v>
      </c>
      <c r="L1" s="2" t="s">
        <v>65</v>
      </c>
      <c r="M1" s="4" t="s">
        <v>66</v>
      </c>
      <c r="O1" s="21" t="s">
        <v>90</v>
      </c>
      <c r="Q1" s="17" t="s">
        <v>64</v>
      </c>
      <c r="R1" s="17"/>
      <c r="S1" s="17"/>
      <c r="T1" s="21" t="s">
        <v>64</v>
      </c>
      <c r="U1" s="21"/>
      <c r="V1" s="21"/>
    </row>
    <row r="2" spans="1:22" x14ac:dyDescent="0.3">
      <c r="A2" s="5" t="s">
        <v>71</v>
      </c>
      <c r="B2" s="1" t="s">
        <v>42</v>
      </c>
      <c r="C2" s="1" t="s">
        <v>1</v>
      </c>
      <c r="D2" s="11">
        <v>44971.640451388892</v>
      </c>
      <c r="E2" s="1" t="s">
        <v>43</v>
      </c>
      <c r="F2" s="1" t="s">
        <v>23</v>
      </c>
      <c r="G2" s="1" t="s">
        <v>24</v>
      </c>
      <c r="H2" s="6" t="s">
        <v>11</v>
      </c>
      <c r="J2" s="19" t="str">
        <f>_xlfn.TEXTJOIN(" ",TRUE,G2:H2)</f>
        <v>San Jose, CA, 95101 Kafka, DataBricks, Spark, Python, GCP</v>
      </c>
      <c r="L2" s="5" t="str" cm="1">
        <f t="array" ref="L2:M2">_xlfn.TEXTSPLIT(B2," ")</f>
        <v>Pam</v>
      </c>
      <c r="M2" s="6" t="str">
        <v>Beesly</v>
      </c>
      <c r="O2" s="19" t="str">
        <f>RIGHT(A2,3)</f>
        <v>548</v>
      </c>
      <c r="Q2">
        <f>FIND(",", G2)+LEN(", ")</f>
        <v>11</v>
      </c>
      <c r="R2">
        <f>FIND(",",G2,Q2)</f>
        <v>13</v>
      </c>
      <c r="S2" t="str">
        <f>MID(G2,Q2,R2-Q2)</f>
        <v>CA</v>
      </c>
      <c r="T2" s="19">
        <f>FIND(",",G2)+LEN(", ")</f>
        <v>11</v>
      </c>
      <c r="U2" s="19">
        <f>FIND(",",G2,T2)</f>
        <v>13</v>
      </c>
      <c r="V2" s="19" t="str">
        <f>MID(G2,T2,U2-T2)</f>
        <v>CA</v>
      </c>
    </row>
    <row r="3" spans="1:22" x14ac:dyDescent="0.3">
      <c r="A3" s="5" t="s">
        <v>70</v>
      </c>
      <c r="B3" s="1" t="s">
        <v>38</v>
      </c>
      <c r="C3" s="1" t="s">
        <v>5</v>
      </c>
      <c r="D3" s="11">
        <v>45055.40662037037</v>
      </c>
      <c r="E3" s="1" t="s">
        <v>39</v>
      </c>
      <c r="F3" s="1" t="s">
        <v>25</v>
      </c>
      <c r="G3" s="1" t="s">
        <v>26</v>
      </c>
      <c r="H3" s="6" t="s">
        <v>14</v>
      </c>
      <c r="J3" s="19" t="str">
        <f t="shared" ref="J3:J21" si="0">_xlfn.TEXTJOIN(" ",TRUE,G3:H3)</f>
        <v>Chicago, IL, 60601 Power BI, GCP, Airflow, Hadoop, R</v>
      </c>
      <c r="L3" s="5" t="str" cm="1">
        <f t="array" ref="L3:M3">_xlfn.TEXTSPLIT(B3," ")</f>
        <v>Michael</v>
      </c>
      <c r="M3" s="6" t="str">
        <v>Scott</v>
      </c>
      <c r="O3" s="19" t="str">
        <f t="shared" ref="O3:O21" si="1">RIGHT(A3,3)</f>
        <v>549</v>
      </c>
      <c r="Q3">
        <f t="shared" ref="Q3:Q21" si="2">FIND(",", G3)+LEN(", ")</f>
        <v>10</v>
      </c>
      <c r="R3">
        <f t="shared" ref="R3:R21" si="3">FIND(",",G3,Q3)</f>
        <v>12</v>
      </c>
      <c r="S3" t="str">
        <f t="shared" ref="S3:S21" si="4">MID(G3,Q3,R3-Q3)</f>
        <v>IL</v>
      </c>
      <c r="T3" s="19">
        <f t="shared" ref="T3:T20" si="5">FIND(",",G3)+LEN(", ")</f>
        <v>10</v>
      </c>
      <c r="U3" s="19">
        <f t="shared" ref="U3:U20" si="6">FIND(",",G3,T3)</f>
        <v>12</v>
      </c>
      <c r="V3" s="19" t="str">
        <f t="shared" ref="V3:V20" si="7">MID(G3,T3,U3-T3)</f>
        <v>IL</v>
      </c>
    </row>
    <row r="4" spans="1:22" x14ac:dyDescent="0.3">
      <c r="A4" s="5" t="s">
        <v>72</v>
      </c>
      <c r="B4" s="1" t="s">
        <v>58</v>
      </c>
      <c r="C4" s="1" t="s">
        <v>12</v>
      </c>
      <c r="D4" s="11">
        <v>45128.729710648149</v>
      </c>
      <c r="E4" s="1" t="s">
        <v>59</v>
      </c>
      <c r="F4" s="1" t="s">
        <v>27</v>
      </c>
      <c r="G4" s="1" t="s">
        <v>26</v>
      </c>
      <c r="H4" s="6" t="s">
        <v>6</v>
      </c>
      <c r="J4" s="19" t="str">
        <f t="shared" si="0"/>
        <v>Chicago, IL, 60601 Azure, Java, SQL, DataBricks</v>
      </c>
      <c r="L4" s="5" t="str" cm="1">
        <f t="array" ref="L4:M4">_xlfn.TEXTSPLIT(B4," ")</f>
        <v>Kevin</v>
      </c>
      <c r="M4" s="6" t="str">
        <v>Malone</v>
      </c>
      <c r="O4" s="19" t="str">
        <f t="shared" si="1"/>
        <v>550</v>
      </c>
      <c r="Q4">
        <f t="shared" si="2"/>
        <v>10</v>
      </c>
      <c r="R4">
        <f t="shared" si="3"/>
        <v>12</v>
      </c>
      <c r="S4" t="str">
        <f t="shared" si="4"/>
        <v>IL</v>
      </c>
      <c r="T4" s="19">
        <f t="shared" si="5"/>
        <v>10</v>
      </c>
      <c r="U4" s="19">
        <f t="shared" si="6"/>
        <v>12</v>
      </c>
      <c r="V4" s="19" t="str">
        <f t="shared" si="7"/>
        <v>IL</v>
      </c>
    </row>
    <row r="5" spans="1:22" x14ac:dyDescent="0.3">
      <c r="A5" s="5" t="s">
        <v>73</v>
      </c>
      <c r="B5" s="1" t="s">
        <v>42</v>
      </c>
      <c r="C5" s="1" t="s">
        <v>5</v>
      </c>
      <c r="D5" s="11">
        <v>45173.302187499998</v>
      </c>
      <c r="E5" s="1" t="s">
        <v>43</v>
      </c>
      <c r="F5" s="1" t="s">
        <v>23</v>
      </c>
      <c r="G5" s="1" t="s">
        <v>24</v>
      </c>
      <c r="H5" s="6" t="s">
        <v>11</v>
      </c>
      <c r="J5" s="19" t="str">
        <f t="shared" si="0"/>
        <v>San Jose, CA, 95101 Kafka, DataBricks, Spark, Python, GCP</v>
      </c>
      <c r="L5" s="5" t="str" cm="1">
        <f t="array" ref="L5:M5">_xlfn.TEXTSPLIT(B5," ")</f>
        <v>Pam</v>
      </c>
      <c r="M5" s="6" t="str">
        <v>Beesly</v>
      </c>
      <c r="O5" s="19" t="str">
        <f t="shared" si="1"/>
        <v>551</v>
      </c>
      <c r="Q5">
        <f t="shared" si="2"/>
        <v>11</v>
      </c>
      <c r="R5">
        <f t="shared" si="3"/>
        <v>13</v>
      </c>
      <c r="S5" t="str">
        <f t="shared" si="4"/>
        <v>CA</v>
      </c>
      <c r="T5" s="19">
        <f t="shared" si="5"/>
        <v>11</v>
      </c>
      <c r="U5" s="19">
        <f t="shared" si="6"/>
        <v>13</v>
      </c>
      <c r="V5" s="19" t="str">
        <f t="shared" si="7"/>
        <v>CA</v>
      </c>
    </row>
    <row r="6" spans="1:22" x14ac:dyDescent="0.3">
      <c r="A6" s="5" t="s">
        <v>74</v>
      </c>
      <c r="B6" s="1" t="s">
        <v>40</v>
      </c>
      <c r="C6" s="1" t="s">
        <v>7</v>
      </c>
      <c r="D6" s="11">
        <v>45248.70857638889</v>
      </c>
      <c r="E6" s="1" t="s">
        <v>41</v>
      </c>
      <c r="F6" s="1" t="s">
        <v>29</v>
      </c>
      <c r="G6" s="1" t="s">
        <v>30</v>
      </c>
      <c r="H6" s="6" t="s">
        <v>10</v>
      </c>
      <c r="J6" s="19" t="str">
        <f t="shared" si="0"/>
        <v>Philadelphia, PA, 19101 DataBricks, Hadoop, Java</v>
      </c>
      <c r="L6" s="5" t="str" cm="1">
        <f t="array" ref="L6:M6">_xlfn.TEXTSPLIT(B6," ")</f>
        <v>Jim</v>
      </c>
      <c r="M6" s="6" t="str">
        <v>Halpert</v>
      </c>
      <c r="O6" s="19" t="str">
        <f t="shared" si="1"/>
        <v>552</v>
      </c>
      <c r="Q6">
        <f t="shared" si="2"/>
        <v>15</v>
      </c>
      <c r="R6">
        <f t="shared" si="3"/>
        <v>17</v>
      </c>
      <c r="S6" t="str">
        <f t="shared" si="4"/>
        <v>PA</v>
      </c>
      <c r="T6" s="19">
        <f t="shared" si="5"/>
        <v>15</v>
      </c>
      <c r="U6" s="19">
        <f t="shared" si="6"/>
        <v>17</v>
      </c>
      <c r="V6" s="19" t="str">
        <f t="shared" si="7"/>
        <v>PA</v>
      </c>
    </row>
    <row r="7" spans="1:22" x14ac:dyDescent="0.3">
      <c r="A7" s="5" t="s">
        <v>75</v>
      </c>
      <c r="B7" s="1" t="s">
        <v>46</v>
      </c>
      <c r="C7" s="1" t="s">
        <v>9</v>
      </c>
      <c r="D7" s="11">
        <v>45302.531921296293</v>
      </c>
      <c r="E7" s="1" t="s">
        <v>47</v>
      </c>
      <c r="F7" s="1" t="s">
        <v>31</v>
      </c>
      <c r="G7" s="1" t="s">
        <v>30</v>
      </c>
      <c r="H7" s="6" t="s">
        <v>15</v>
      </c>
      <c r="J7" s="19" t="str">
        <f t="shared" si="0"/>
        <v>Philadelphia, PA, 19101 Snowflake, Airflow, DataBricks</v>
      </c>
      <c r="L7" s="5" t="str" cm="1">
        <f t="array" ref="L7:M7">_xlfn.TEXTSPLIT(B7," ")</f>
        <v>Ryan</v>
      </c>
      <c r="M7" s="6" t="str">
        <v>Howard</v>
      </c>
      <c r="O7" s="19" t="str">
        <f t="shared" si="1"/>
        <v>553</v>
      </c>
      <c r="Q7">
        <f t="shared" si="2"/>
        <v>15</v>
      </c>
      <c r="R7">
        <f t="shared" si="3"/>
        <v>17</v>
      </c>
      <c r="S7" t="str">
        <f t="shared" si="4"/>
        <v>PA</v>
      </c>
      <c r="T7" s="19">
        <f t="shared" si="5"/>
        <v>15</v>
      </c>
      <c r="U7" s="19">
        <f t="shared" si="6"/>
        <v>17</v>
      </c>
      <c r="V7" s="19" t="str">
        <f t="shared" si="7"/>
        <v>PA</v>
      </c>
    </row>
    <row r="8" spans="1:22" x14ac:dyDescent="0.3">
      <c r="A8" s="5" t="s">
        <v>76</v>
      </c>
      <c r="B8" s="1" t="s">
        <v>58</v>
      </c>
      <c r="C8" s="1" t="s">
        <v>5</v>
      </c>
      <c r="D8" s="11">
        <v>45354.687881944446</v>
      </c>
      <c r="E8" s="1" t="s">
        <v>59</v>
      </c>
      <c r="F8" s="1" t="s">
        <v>27</v>
      </c>
      <c r="G8" s="1" t="s">
        <v>26</v>
      </c>
      <c r="H8" s="6" t="s">
        <v>6</v>
      </c>
      <c r="J8" s="19" t="str">
        <f t="shared" si="0"/>
        <v>Chicago, IL, 60601 Azure, Java, SQL, DataBricks</v>
      </c>
      <c r="L8" s="5" t="str" cm="1">
        <f t="array" ref="L8:M8">_xlfn.TEXTSPLIT(B8," ")</f>
        <v>Kevin</v>
      </c>
      <c r="M8" s="6" t="str">
        <v>Malone</v>
      </c>
      <c r="O8" s="19" t="str">
        <f t="shared" si="1"/>
        <v>554</v>
      </c>
      <c r="Q8">
        <f t="shared" si="2"/>
        <v>10</v>
      </c>
      <c r="R8">
        <f t="shared" si="3"/>
        <v>12</v>
      </c>
      <c r="S8" t="str">
        <f t="shared" si="4"/>
        <v>IL</v>
      </c>
      <c r="T8" s="19">
        <f t="shared" si="5"/>
        <v>10</v>
      </c>
      <c r="U8" s="19">
        <f t="shared" si="6"/>
        <v>12</v>
      </c>
      <c r="V8" s="19" t="str">
        <f t="shared" si="7"/>
        <v>IL</v>
      </c>
    </row>
    <row r="9" spans="1:22" x14ac:dyDescent="0.3">
      <c r="A9" s="5" t="s">
        <v>77</v>
      </c>
      <c r="B9" s="1" t="s">
        <v>46</v>
      </c>
      <c r="C9" s="1" t="s">
        <v>1</v>
      </c>
      <c r="D9" s="11">
        <v>45408.340810185182</v>
      </c>
      <c r="E9" s="1" t="s">
        <v>47</v>
      </c>
      <c r="F9" s="1" t="s">
        <v>31</v>
      </c>
      <c r="G9" s="1" t="s">
        <v>30</v>
      </c>
      <c r="H9" s="6" t="s">
        <v>15</v>
      </c>
      <c r="J9" s="19" t="str">
        <f t="shared" si="0"/>
        <v>Philadelphia, PA, 19101 Snowflake, Airflow, DataBricks</v>
      </c>
      <c r="L9" s="5" t="str" cm="1">
        <f t="array" ref="L9:M9">_xlfn.TEXTSPLIT(B9," ")</f>
        <v>Ryan</v>
      </c>
      <c r="M9" s="6" t="str">
        <v>Howard</v>
      </c>
      <c r="O9" s="19" t="str">
        <f t="shared" si="1"/>
        <v>555</v>
      </c>
      <c r="Q9">
        <f t="shared" si="2"/>
        <v>15</v>
      </c>
      <c r="R9">
        <f t="shared" si="3"/>
        <v>17</v>
      </c>
      <c r="S9" t="str">
        <f t="shared" si="4"/>
        <v>PA</v>
      </c>
      <c r="T9" s="19">
        <f t="shared" si="5"/>
        <v>15</v>
      </c>
      <c r="U9" s="19">
        <f t="shared" si="6"/>
        <v>17</v>
      </c>
      <c r="V9" s="19" t="str">
        <f t="shared" si="7"/>
        <v>PA</v>
      </c>
    </row>
    <row r="10" spans="1:22" x14ac:dyDescent="0.3">
      <c r="A10" s="5" t="s">
        <v>78</v>
      </c>
      <c r="B10" s="1" t="s">
        <v>50</v>
      </c>
      <c r="C10" s="1" t="s">
        <v>7</v>
      </c>
      <c r="D10" s="11">
        <v>45458.743333333332</v>
      </c>
      <c r="E10" s="1" t="s">
        <v>51</v>
      </c>
      <c r="F10" s="1" t="s">
        <v>33</v>
      </c>
      <c r="G10" s="1" t="s">
        <v>26</v>
      </c>
      <c r="H10" s="6" t="s">
        <v>18</v>
      </c>
      <c r="J10" s="19" t="str">
        <f t="shared" si="0"/>
        <v>Chicago, IL, 60601 Scala, Azure, R, Kafka</v>
      </c>
      <c r="L10" s="5" t="str" cm="1">
        <f t="array" ref="L10:M10">_xlfn.TEXTSPLIT(B10," ")</f>
        <v>Stanley</v>
      </c>
      <c r="M10" s="6" t="str">
        <v>Hudson</v>
      </c>
      <c r="O10" s="19" t="str">
        <f t="shared" si="1"/>
        <v>556</v>
      </c>
      <c r="Q10">
        <f t="shared" si="2"/>
        <v>10</v>
      </c>
      <c r="R10">
        <f t="shared" si="3"/>
        <v>12</v>
      </c>
      <c r="S10" t="str">
        <f t="shared" si="4"/>
        <v>IL</v>
      </c>
      <c r="T10" s="19">
        <f t="shared" si="5"/>
        <v>10</v>
      </c>
      <c r="U10" s="19">
        <f t="shared" si="6"/>
        <v>12</v>
      </c>
      <c r="V10" s="19" t="str">
        <f t="shared" si="7"/>
        <v>IL</v>
      </c>
    </row>
    <row r="11" spans="1:22" x14ac:dyDescent="0.3">
      <c r="A11" s="5" t="s">
        <v>79</v>
      </c>
      <c r="B11" s="1" t="s">
        <v>54</v>
      </c>
      <c r="C11" s="1" t="s">
        <v>12</v>
      </c>
      <c r="D11" s="11">
        <v>45480.608055555553</v>
      </c>
      <c r="E11" s="1" t="s">
        <v>55</v>
      </c>
      <c r="F11" s="1" t="s">
        <v>33</v>
      </c>
      <c r="G11" s="1" t="s">
        <v>32</v>
      </c>
      <c r="H11" s="6" t="s">
        <v>13</v>
      </c>
      <c r="J11" s="19" t="str">
        <f t="shared" si="0"/>
        <v>Los Angeles, CA, 90001 Snowflake, Excel, Scala</v>
      </c>
      <c r="L11" s="5" t="str" cm="1">
        <f t="array" ref="L11:M11">_xlfn.TEXTSPLIT(B11," ")</f>
        <v>Angela</v>
      </c>
      <c r="M11" s="6" t="str">
        <v>Martin</v>
      </c>
      <c r="O11" s="19" t="str">
        <f t="shared" si="1"/>
        <v>557</v>
      </c>
      <c r="Q11">
        <f t="shared" si="2"/>
        <v>14</v>
      </c>
      <c r="R11">
        <f t="shared" si="3"/>
        <v>16</v>
      </c>
      <c r="S11" t="str">
        <f t="shared" si="4"/>
        <v>CA</v>
      </c>
      <c r="T11" s="19">
        <f t="shared" si="5"/>
        <v>14</v>
      </c>
      <c r="U11" s="19">
        <f t="shared" si="6"/>
        <v>16</v>
      </c>
      <c r="V11" s="19" t="str">
        <f t="shared" si="7"/>
        <v>CA</v>
      </c>
    </row>
    <row r="12" spans="1:22" x14ac:dyDescent="0.3">
      <c r="A12" s="5" t="s">
        <v>80</v>
      </c>
      <c r="B12" s="1" t="s">
        <v>44</v>
      </c>
      <c r="C12" s="1" t="s">
        <v>7</v>
      </c>
      <c r="D12" s="11">
        <v>45455.284930555557</v>
      </c>
      <c r="E12" s="1" t="s">
        <v>45</v>
      </c>
      <c r="F12" s="1" t="s">
        <v>33</v>
      </c>
      <c r="G12" s="1" t="s">
        <v>34</v>
      </c>
      <c r="H12" s="6" t="s">
        <v>17</v>
      </c>
      <c r="J12" s="19" t="str">
        <f t="shared" si="0"/>
        <v>San Diego, CA, 92101 Excel, Power BI, R</v>
      </c>
      <c r="L12" s="5" t="str" cm="1">
        <f t="array" ref="L12:M12">_xlfn.TEXTSPLIT(B12," ")</f>
        <v>Dwight</v>
      </c>
      <c r="M12" s="6" t="str">
        <v>Schrute</v>
      </c>
      <c r="O12" s="19" t="str">
        <f t="shared" si="1"/>
        <v>558</v>
      </c>
      <c r="Q12">
        <f t="shared" si="2"/>
        <v>12</v>
      </c>
      <c r="R12">
        <f t="shared" si="3"/>
        <v>14</v>
      </c>
      <c r="S12" t="str">
        <f t="shared" si="4"/>
        <v>CA</v>
      </c>
      <c r="T12" s="19">
        <f t="shared" si="5"/>
        <v>12</v>
      </c>
      <c r="U12" s="19">
        <f t="shared" si="6"/>
        <v>14</v>
      </c>
      <c r="V12" s="19" t="str">
        <f t="shared" si="7"/>
        <v>CA</v>
      </c>
    </row>
    <row r="13" spans="1:22" x14ac:dyDescent="0.3">
      <c r="A13" s="5" t="s">
        <v>81</v>
      </c>
      <c r="B13" s="1" t="s">
        <v>56</v>
      </c>
      <c r="C13" s="1" t="s">
        <v>9</v>
      </c>
      <c r="D13" s="11">
        <v>44951.552141203705</v>
      </c>
      <c r="E13" s="1" t="s">
        <v>57</v>
      </c>
      <c r="F13" s="1" t="s">
        <v>35</v>
      </c>
      <c r="G13" s="1" t="s">
        <v>26</v>
      </c>
      <c r="H13" s="6" t="s">
        <v>16</v>
      </c>
      <c r="J13" s="19" t="str">
        <f t="shared" si="0"/>
        <v>Chicago, IL, 60601 Scala, R, Hadoop, Power BI, SQL</v>
      </c>
      <c r="L13" s="5" t="str" cm="1">
        <f t="array" ref="L13:M13">_xlfn.TEXTSPLIT(B13," ")</f>
        <v>Oscar</v>
      </c>
      <c r="M13" s="6" t="str">
        <v>Martinez</v>
      </c>
      <c r="O13" s="19" t="str">
        <f t="shared" si="1"/>
        <v>559</v>
      </c>
      <c r="Q13">
        <f t="shared" si="2"/>
        <v>10</v>
      </c>
      <c r="R13">
        <f t="shared" si="3"/>
        <v>12</v>
      </c>
      <c r="S13" t="str">
        <f t="shared" si="4"/>
        <v>IL</v>
      </c>
      <c r="T13" s="19">
        <f t="shared" si="5"/>
        <v>10</v>
      </c>
      <c r="U13" s="19">
        <f t="shared" si="6"/>
        <v>12</v>
      </c>
      <c r="V13" s="19" t="str">
        <f t="shared" si="7"/>
        <v>IL</v>
      </c>
    </row>
    <row r="14" spans="1:22" x14ac:dyDescent="0.3">
      <c r="A14" s="5" t="s">
        <v>82</v>
      </c>
      <c r="B14" s="1" t="s">
        <v>46</v>
      </c>
      <c r="C14" s="1" t="s">
        <v>12</v>
      </c>
      <c r="D14" s="11">
        <v>45002.490034722221</v>
      </c>
      <c r="E14" s="1" t="s">
        <v>47</v>
      </c>
      <c r="F14" s="1" t="s">
        <v>31</v>
      </c>
      <c r="G14" s="1" t="s">
        <v>30</v>
      </c>
      <c r="H14" s="6" t="s">
        <v>15</v>
      </c>
      <c r="J14" s="19" t="str">
        <f t="shared" si="0"/>
        <v>Philadelphia, PA, 19101 Snowflake, Airflow, DataBricks</v>
      </c>
      <c r="L14" s="5" t="str" cm="1">
        <f t="array" ref="L14:M14">_xlfn.TEXTSPLIT(B14," ")</f>
        <v>Ryan</v>
      </c>
      <c r="M14" s="6" t="str">
        <v>Howard</v>
      </c>
      <c r="O14" s="19" t="str">
        <f t="shared" si="1"/>
        <v>560</v>
      </c>
      <c r="Q14">
        <f t="shared" si="2"/>
        <v>15</v>
      </c>
      <c r="R14">
        <f t="shared" si="3"/>
        <v>17</v>
      </c>
      <c r="S14" t="str">
        <f t="shared" si="4"/>
        <v>PA</v>
      </c>
      <c r="T14" s="19">
        <f t="shared" si="5"/>
        <v>15</v>
      </c>
      <c r="U14" s="19">
        <f t="shared" si="6"/>
        <v>17</v>
      </c>
      <c r="V14" s="19" t="str">
        <f t="shared" si="7"/>
        <v>PA</v>
      </c>
    </row>
    <row r="15" spans="1:22" x14ac:dyDescent="0.3">
      <c r="A15" s="5" t="s">
        <v>83</v>
      </c>
      <c r="B15" s="1" t="s">
        <v>52</v>
      </c>
      <c r="C15" s="1" t="s">
        <v>9</v>
      </c>
      <c r="D15" s="11">
        <v>45078.417256944442</v>
      </c>
      <c r="E15" s="1" t="s">
        <v>53</v>
      </c>
      <c r="F15" s="1" t="s">
        <v>33</v>
      </c>
      <c r="G15" s="1" t="s">
        <v>26</v>
      </c>
      <c r="H15" s="6" t="s">
        <v>19</v>
      </c>
      <c r="J15" s="19" t="str">
        <f t="shared" si="0"/>
        <v>Chicago, IL, 60601 Java, Scala, R</v>
      </c>
      <c r="L15" s="5" t="str" cm="1">
        <f t="array" ref="L15:M15">_xlfn.TEXTSPLIT(B15," ")</f>
        <v>Phyllis</v>
      </c>
      <c r="M15" s="6" t="str">
        <v>Vance</v>
      </c>
      <c r="O15" s="19" t="str">
        <f t="shared" si="1"/>
        <v>561</v>
      </c>
      <c r="Q15">
        <f t="shared" si="2"/>
        <v>10</v>
      </c>
      <c r="R15">
        <f t="shared" si="3"/>
        <v>12</v>
      </c>
      <c r="S15" t="str">
        <f t="shared" si="4"/>
        <v>IL</v>
      </c>
      <c r="T15" s="19">
        <f t="shared" si="5"/>
        <v>10</v>
      </c>
      <c r="U15" s="19">
        <f t="shared" si="6"/>
        <v>12</v>
      </c>
      <c r="V15" s="19" t="str">
        <f t="shared" si="7"/>
        <v>IL</v>
      </c>
    </row>
    <row r="16" spans="1:22" x14ac:dyDescent="0.3">
      <c r="A16" s="5" t="s">
        <v>84</v>
      </c>
      <c r="B16" s="1" t="s">
        <v>60</v>
      </c>
      <c r="C16" s="1" t="s">
        <v>9</v>
      </c>
      <c r="D16" s="11">
        <v>45168.729328703703</v>
      </c>
      <c r="E16" s="1" t="s">
        <v>61</v>
      </c>
      <c r="F16" s="1" t="s">
        <v>28</v>
      </c>
      <c r="G16" s="1" t="s">
        <v>26</v>
      </c>
      <c r="H16" s="6" t="s">
        <v>20</v>
      </c>
      <c r="J16" s="19" t="str">
        <f t="shared" si="0"/>
        <v>Chicago, IL, 60601 DataBricks, Azure, Scala</v>
      </c>
      <c r="L16" s="5" t="str" cm="1">
        <f t="array" ref="L16:M16">_xlfn.TEXTSPLIT(B16," ")</f>
        <v>Meredith</v>
      </c>
      <c r="M16" s="6" t="str">
        <v>Palmer</v>
      </c>
      <c r="O16" s="19" t="str">
        <f t="shared" si="1"/>
        <v>562</v>
      </c>
      <c r="Q16">
        <f t="shared" si="2"/>
        <v>10</v>
      </c>
      <c r="R16">
        <f t="shared" si="3"/>
        <v>12</v>
      </c>
      <c r="S16" t="str">
        <f t="shared" si="4"/>
        <v>IL</v>
      </c>
      <c r="T16" s="19">
        <f t="shared" si="5"/>
        <v>10</v>
      </c>
      <c r="U16" s="19">
        <f t="shared" si="6"/>
        <v>12</v>
      </c>
      <c r="V16" s="19" t="str">
        <f t="shared" si="7"/>
        <v>IL</v>
      </c>
    </row>
    <row r="17" spans="1:22" x14ac:dyDescent="0.3">
      <c r="A17" s="5" t="s">
        <v>85</v>
      </c>
      <c r="B17" s="1" t="s">
        <v>38</v>
      </c>
      <c r="C17" s="1" t="s">
        <v>7</v>
      </c>
      <c r="D17" s="11">
        <v>45218.319780092592</v>
      </c>
      <c r="E17" s="1" t="s">
        <v>39</v>
      </c>
      <c r="F17" s="1" t="s">
        <v>25</v>
      </c>
      <c r="G17" s="1" t="s">
        <v>37</v>
      </c>
      <c r="H17" s="6" t="s">
        <v>14</v>
      </c>
      <c r="J17" s="19" t="str">
        <f t="shared" si="0"/>
        <v>Chicago, IL, 60602 Power BI, GCP, Airflow, Hadoop, R</v>
      </c>
      <c r="L17" s="5" t="str" cm="1">
        <f t="array" ref="L17:M17">_xlfn.TEXTSPLIT(B17," ")</f>
        <v>Michael</v>
      </c>
      <c r="M17" s="6" t="str">
        <v>Scott</v>
      </c>
      <c r="O17" s="19" t="str">
        <f t="shared" si="1"/>
        <v>563</v>
      </c>
      <c r="Q17">
        <f t="shared" si="2"/>
        <v>10</v>
      </c>
      <c r="R17">
        <f t="shared" si="3"/>
        <v>12</v>
      </c>
      <c r="S17" t="str">
        <f t="shared" si="4"/>
        <v>IL</v>
      </c>
      <c r="T17" s="19">
        <f t="shared" si="5"/>
        <v>10</v>
      </c>
      <c r="U17" s="19">
        <f t="shared" si="6"/>
        <v>12</v>
      </c>
      <c r="V17" s="19" t="str">
        <f t="shared" si="7"/>
        <v>IL</v>
      </c>
    </row>
    <row r="18" spans="1:22" x14ac:dyDescent="0.3">
      <c r="A18" s="5" t="s">
        <v>86</v>
      </c>
      <c r="B18" s="1" t="s">
        <v>40</v>
      </c>
      <c r="C18" s="1" t="s">
        <v>12</v>
      </c>
      <c r="D18" s="11">
        <v>45350.719236111108</v>
      </c>
      <c r="E18" s="1" t="s">
        <v>41</v>
      </c>
      <c r="F18" s="1" t="s">
        <v>29</v>
      </c>
      <c r="G18" s="1" t="s">
        <v>30</v>
      </c>
      <c r="H18" s="6" t="s">
        <v>10</v>
      </c>
      <c r="J18" s="19" t="str">
        <f t="shared" si="0"/>
        <v>Philadelphia, PA, 19101 DataBricks, Hadoop, Java</v>
      </c>
      <c r="L18" s="5" t="str" cm="1">
        <f t="array" ref="L18:M18">_xlfn.TEXTSPLIT(B18," ")</f>
        <v>Jim</v>
      </c>
      <c r="M18" s="6" t="str">
        <v>Halpert</v>
      </c>
      <c r="O18" s="19" t="str">
        <f t="shared" si="1"/>
        <v>564</v>
      </c>
      <c r="Q18">
        <f t="shared" si="2"/>
        <v>15</v>
      </c>
      <c r="R18">
        <f t="shared" si="3"/>
        <v>17</v>
      </c>
      <c r="S18" t="str">
        <f t="shared" si="4"/>
        <v>PA</v>
      </c>
      <c r="T18" s="19">
        <f t="shared" si="5"/>
        <v>15</v>
      </c>
      <c r="U18" s="19">
        <f t="shared" si="6"/>
        <v>17</v>
      </c>
      <c r="V18" s="19" t="str">
        <f t="shared" si="7"/>
        <v>PA</v>
      </c>
    </row>
    <row r="19" spans="1:22" x14ac:dyDescent="0.3">
      <c r="A19" s="5" t="s">
        <v>87</v>
      </c>
      <c r="B19" s="1" t="s">
        <v>48</v>
      </c>
      <c r="C19" s="1" t="s">
        <v>7</v>
      </c>
      <c r="D19" s="11">
        <v>45418.726354166669</v>
      </c>
      <c r="E19" s="1" t="s">
        <v>49</v>
      </c>
      <c r="F19" s="1" t="s">
        <v>28</v>
      </c>
      <c r="G19" s="1" t="s">
        <v>36</v>
      </c>
      <c r="H19" s="6" t="s">
        <v>8</v>
      </c>
      <c r="J19" s="19" t="str">
        <f t="shared" si="0"/>
        <v>New York, NY, 10001 Snowflake, Power BI, Tableau, Airflow, SQL</v>
      </c>
      <c r="L19" s="5" t="str" cm="1">
        <f t="array" ref="L19:M19">_xlfn.TEXTSPLIT(B19," ")</f>
        <v>Kelly</v>
      </c>
      <c r="M19" s="6" t="str">
        <v>Kapoor</v>
      </c>
      <c r="O19" s="19" t="str">
        <f t="shared" si="1"/>
        <v>565</v>
      </c>
      <c r="Q19">
        <f t="shared" si="2"/>
        <v>11</v>
      </c>
      <c r="R19">
        <f t="shared" si="3"/>
        <v>13</v>
      </c>
      <c r="S19" t="str">
        <f t="shared" si="4"/>
        <v>NY</v>
      </c>
      <c r="T19" s="19">
        <f t="shared" si="5"/>
        <v>11</v>
      </c>
      <c r="U19" s="19">
        <f t="shared" si="6"/>
        <v>13</v>
      </c>
      <c r="V19" s="19" t="str">
        <f t="shared" si="7"/>
        <v>NY</v>
      </c>
    </row>
    <row r="20" spans="1:22" ht="15" thickBot="1" x14ac:dyDescent="0.35">
      <c r="A20" s="5" t="s">
        <v>88</v>
      </c>
      <c r="B20" s="1" t="s">
        <v>40</v>
      </c>
      <c r="C20" s="1" t="s">
        <v>9</v>
      </c>
      <c r="D20" s="11">
        <v>45496.291701388887</v>
      </c>
      <c r="E20" s="1" t="s">
        <v>41</v>
      </c>
      <c r="F20" s="1" t="s">
        <v>29</v>
      </c>
      <c r="G20" s="1" t="s">
        <v>30</v>
      </c>
      <c r="H20" s="6" t="s">
        <v>10</v>
      </c>
      <c r="J20" s="19" t="str">
        <f t="shared" si="0"/>
        <v>Philadelphia, PA, 19101 DataBricks, Hadoop, Java</v>
      </c>
      <c r="L20" s="5" t="str" cm="1">
        <f t="array" ref="L20:M20">_xlfn.TEXTSPLIT(B20," ")</f>
        <v>Jim</v>
      </c>
      <c r="M20" s="6" t="str">
        <v>Halpert</v>
      </c>
      <c r="O20" s="19" t="str">
        <f t="shared" si="1"/>
        <v>566</v>
      </c>
      <c r="Q20">
        <f t="shared" si="2"/>
        <v>15</v>
      </c>
      <c r="R20">
        <f t="shared" si="3"/>
        <v>17</v>
      </c>
      <c r="S20" t="str">
        <f t="shared" si="4"/>
        <v>PA</v>
      </c>
      <c r="T20" s="19">
        <f t="shared" si="5"/>
        <v>15</v>
      </c>
      <c r="U20" s="19">
        <f t="shared" si="6"/>
        <v>17</v>
      </c>
      <c r="V20" s="19" t="str">
        <f t="shared" si="7"/>
        <v>PA</v>
      </c>
    </row>
    <row r="21" spans="1:22" ht="15" thickBot="1" x14ac:dyDescent="0.35">
      <c r="A21" s="5" t="s">
        <v>89</v>
      </c>
      <c r="B21" s="7" t="s">
        <v>40</v>
      </c>
      <c r="C21" s="7" t="s">
        <v>9</v>
      </c>
      <c r="D21" s="12">
        <v>45422.739884259259</v>
      </c>
      <c r="E21" s="7" t="s">
        <v>41</v>
      </c>
      <c r="F21" s="7" t="s">
        <v>29</v>
      </c>
      <c r="G21" s="7" t="s">
        <v>36</v>
      </c>
      <c r="H21" s="8" t="s">
        <v>10</v>
      </c>
      <c r="J21" s="19" t="str">
        <f t="shared" si="0"/>
        <v>New York, NY, 10001 DataBricks, Hadoop, Java</v>
      </c>
      <c r="L21" s="5" t="str" cm="1">
        <f t="array" ref="L21:M21">_xlfn.TEXTSPLIT(B21," ")</f>
        <v>Jim</v>
      </c>
      <c r="M21" s="8" t="str">
        <v>Halpert</v>
      </c>
      <c r="O21" s="20" t="str">
        <f t="shared" si="1"/>
        <v>567</v>
      </c>
      <c r="Q21">
        <f t="shared" si="2"/>
        <v>11</v>
      </c>
      <c r="R21">
        <f t="shared" si="3"/>
        <v>13</v>
      </c>
      <c r="S21" t="str">
        <f t="shared" si="4"/>
        <v>NY</v>
      </c>
      <c r="T21" s="21"/>
      <c r="U21" s="21"/>
      <c r="V21" s="21"/>
    </row>
  </sheetData>
  <sortState xmlns:xlrd2="http://schemas.microsoft.com/office/spreadsheetml/2017/richdata2" ref="B2:H22">
    <sortCondition ref="D1:D22"/>
  </sortState>
  <mergeCells count="1">
    <mergeCell ref="Q1:S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68</v>
      </c>
      <c r="B1" s="3" t="s">
        <v>2</v>
      </c>
      <c r="C1" s="3" t="s">
        <v>3</v>
      </c>
      <c r="D1" s="10" t="s">
        <v>91</v>
      </c>
      <c r="E1" s="3" t="s">
        <v>0</v>
      </c>
      <c r="F1" s="3" t="s">
        <v>21</v>
      </c>
      <c r="G1" s="3" t="s">
        <v>22</v>
      </c>
      <c r="H1" s="4" t="s">
        <v>4</v>
      </c>
      <c r="J1" s="14" t="s">
        <v>62</v>
      </c>
    </row>
    <row r="2" spans="1:10" x14ac:dyDescent="0.3">
      <c r="A2" s="5" t="s">
        <v>71</v>
      </c>
      <c r="B2" s="1" t="s">
        <v>42</v>
      </c>
      <c r="C2" s="1" t="s">
        <v>1</v>
      </c>
      <c r="D2" s="11">
        <v>44971.640451388892</v>
      </c>
      <c r="E2" s="1" t="s">
        <v>43</v>
      </c>
      <c r="F2" s="1" t="s">
        <v>23</v>
      </c>
      <c r="G2" s="1" t="s">
        <v>24</v>
      </c>
      <c r="H2" s="6" t="s">
        <v>11</v>
      </c>
      <c r="J2" t="str">
        <f>_xlfn.TEXTJOIN(" ",TRUE,F2,G2)</f>
        <v>457 Oak St San Jose, CA, 95101</v>
      </c>
    </row>
    <row r="3" spans="1:10" x14ac:dyDescent="0.3">
      <c r="A3" s="5" t="s">
        <v>70</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72</v>
      </c>
      <c r="B4" s="1" t="s">
        <v>58</v>
      </c>
      <c r="C4" s="1" t="s">
        <v>12</v>
      </c>
      <c r="D4" s="11">
        <v>45128.729710648149</v>
      </c>
      <c r="E4" s="1" t="s">
        <v>59</v>
      </c>
      <c r="F4" s="1" t="s">
        <v>27</v>
      </c>
      <c r="G4" s="1" t="s">
        <v>26</v>
      </c>
      <c r="H4" s="6" t="s">
        <v>6</v>
      </c>
      <c r="J4" t="str">
        <f t="shared" si="0"/>
        <v>790 Pine St Chicago, IL, 60601</v>
      </c>
    </row>
    <row r="5" spans="1:10" x14ac:dyDescent="0.3">
      <c r="A5" s="5" t="s">
        <v>73</v>
      </c>
      <c r="B5" s="1" t="s">
        <v>42</v>
      </c>
      <c r="C5" s="1" t="s">
        <v>5</v>
      </c>
      <c r="D5" s="11">
        <v>45173.302187499998</v>
      </c>
      <c r="E5" s="1" t="s">
        <v>43</v>
      </c>
      <c r="F5" s="1" t="s">
        <v>23</v>
      </c>
      <c r="G5" s="1" t="s">
        <v>24</v>
      </c>
      <c r="H5" s="6" t="s">
        <v>11</v>
      </c>
      <c r="J5" t="str">
        <f t="shared" si="0"/>
        <v>457 Oak St San Jose, CA, 95101</v>
      </c>
    </row>
    <row r="6" spans="1:10" x14ac:dyDescent="0.3">
      <c r="A6" s="5" t="s">
        <v>74</v>
      </c>
      <c r="B6" s="1" t="s">
        <v>40</v>
      </c>
      <c r="C6" s="1" t="s">
        <v>7</v>
      </c>
      <c r="D6" s="11">
        <v>45248.70857638889</v>
      </c>
      <c r="E6" s="1" t="s">
        <v>41</v>
      </c>
      <c r="F6" s="1" t="s">
        <v>29</v>
      </c>
      <c r="G6" s="1" t="s">
        <v>30</v>
      </c>
      <c r="H6" s="6" t="s">
        <v>10</v>
      </c>
      <c r="J6" t="str">
        <f t="shared" si="0"/>
        <v>459 Oak St Philadelphia, PA, 19101</v>
      </c>
    </row>
    <row r="7" spans="1:10" x14ac:dyDescent="0.3">
      <c r="A7" s="5" t="s">
        <v>75</v>
      </c>
      <c r="B7" s="1" t="s">
        <v>46</v>
      </c>
      <c r="C7" s="1" t="s">
        <v>9</v>
      </c>
      <c r="D7" s="11">
        <v>45302.531921296293</v>
      </c>
      <c r="E7" s="1" t="s">
        <v>47</v>
      </c>
      <c r="F7" s="1" t="s">
        <v>31</v>
      </c>
      <c r="G7" s="1" t="s">
        <v>30</v>
      </c>
      <c r="H7" s="6" t="s">
        <v>15</v>
      </c>
      <c r="J7" t="str">
        <f t="shared" si="0"/>
        <v>204 Birch St Philadelphia, PA, 19101</v>
      </c>
    </row>
    <row r="8" spans="1:10" x14ac:dyDescent="0.3">
      <c r="A8" s="5" t="s">
        <v>76</v>
      </c>
      <c r="B8" s="1" t="s">
        <v>58</v>
      </c>
      <c r="C8" s="1" t="s">
        <v>5</v>
      </c>
      <c r="D8" s="11">
        <v>45354.687881944446</v>
      </c>
      <c r="E8" s="1" t="s">
        <v>59</v>
      </c>
      <c r="F8" s="1" t="s">
        <v>27</v>
      </c>
      <c r="G8" s="1" t="s">
        <v>26</v>
      </c>
      <c r="H8" s="6" t="s">
        <v>6</v>
      </c>
      <c r="J8" t="str">
        <f t="shared" si="0"/>
        <v>790 Pine St Chicago, IL, 60601</v>
      </c>
    </row>
    <row r="9" spans="1:10" x14ac:dyDescent="0.3">
      <c r="A9" s="5" t="s">
        <v>77</v>
      </c>
      <c r="B9" s="1" t="s">
        <v>46</v>
      </c>
      <c r="C9" s="1" t="s">
        <v>1</v>
      </c>
      <c r="D9" s="11">
        <v>45408.340810185182</v>
      </c>
      <c r="E9" s="1" t="s">
        <v>47</v>
      </c>
      <c r="F9" s="1" t="s">
        <v>31</v>
      </c>
      <c r="G9" s="1" t="s">
        <v>30</v>
      </c>
      <c r="H9" s="6" t="s">
        <v>15</v>
      </c>
      <c r="J9" t="str">
        <f t="shared" si="0"/>
        <v>204 Birch St Philadelphia, PA, 19101</v>
      </c>
    </row>
    <row r="10" spans="1:10" x14ac:dyDescent="0.3">
      <c r="A10" s="5" t="s">
        <v>78</v>
      </c>
      <c r="B10" s="1" t="s">
        <v>50</v>
      </c>
      <c r="C10" s="1" t="s">
        <v>7</v>
      </c>
      <c r="D10" s="11">
        <v>45458.743333333332</v>
      </c>
      <c r="E10" s="1" t="s">
        <v>51</v>
      </c>
      <c r="F10" s="1" t="s">
        <v>33</v>
      </c>
      <c r="G10" s="1" t="s">
        <v>26</v>
      </c>
      <c r="H10" s="6" t="s">
        <v>18</v>
      </c>
      <c r="J10" t="str">
        <f t="shared" si="0"/>
        <v>123 Elm St Chicago, IL, 60601</v>
      </c>
    </row>
    <row r="11" spans="1:10" x14ac:dyDescent="0.3">
      <c r="A11" s="5" t="s">
        <v>79</v>
      </c>
      <c r="B11" s="1" t="s">
        <v>54</v>
      </c>
      <c r="C11" s="1" t="s">
        <v>12</v>
      </c>
      <c r="D11" s="11">
        <v>45480.608055555553</v>
      </c>
      <c r="E11" s="1" t="s">
        <v>55</v>
      </c>
      <c r="F11" s="1" t="s">
        <v>33</v>
      </c>
      <c r="G11" s="1" t="s">
        <v>32</v>
      </c>
      <c r="H11" s="6" t="s">
        <v>13</v>
      </c>
      <c r="J11" t="str">
        <f t="shared" si="0"/>
        <v>123 Elm St Los Angeles, CA, 90001</v>
      </c>
    </row>
    <row r="12" spans="1:10" x14ac:dyDescent="0.3">
      <c r="A12" s="5" t="s">
        <v>80</v>
      </c>
      <c r="B12" s="1" t="s">
        <v>44</v>
      </c>
      <c r="C12" s="1" t="s">
        <v>7</v>
      </c>
      <c r="D12" s="11">
        <v>45455.284930555557</v>
      </c>
      <c r="E12" s="1" t="s">
        <v>45</v>
      </c>
      <c r="F12" s="1" t="s">
        <v>33</v>
      </c>
      <c r="G12" s="1" t="s">
        <v>34</v>
      </c>
      <c r="H12" s="6" t="s">
        <v>17</v>
      </c>
      <c r="J12" t="str">
        <f t="shared" si="0"/>
        <v>123 Elm St San Diego, CA, 92101</v>
      </c>
    </row>
    <row r="13" spans="1:10" x14ac:dyDescent="0.3">
      <c r="A13" s="5" t="s">
        <v>81</v>
      </c>
      <c r="B13" s="1" t="s">
        <v>56</v>
      </c>
      <c r="C13" s="1" t="s">
        <v>9</v>
      </c>
      <c r="D13" s="11">
        <v>44951.552141203705</v>
      </c>
      <c r="E13" s="1" t="s">
        <v>57</v>
      </c>
      <c r="F13" s="1" t="s">
        <v>35</v>
      </c>
      <c r="G13" s="1" t="s">
        <v>26</v>
      </c>
      <c r="H13" s="6" t="s">
        <v>16</v>
      </c>
      <c r="J13" t="str">
        <f t="shared" si="0"/>
        <v>202 Birch St Chicago, IL, 60601</v>
      </c>
    </row>
    <row r="14" spans="1:10" x14ac:dyDescent="0.3">
      <c r="A14" s="5" t="s">
        <v>82</v>
      </c>
      <c r="B14" s="1" t="s">
        <v>46</v>
      </c>
      <c r="C14" s="1" t="s">
        <v>12</v>
      </c>
      <c r="D14" s="11">
        <v>45002.490034722221</v>
      </c>
      <c r="E14" s="1" t="s">
        <v>47</v>
      </c>
      <c r="F14" s="1" t="s">
        <v>31</v>
      </c>
      <c r="G14" s="1" t="s">
        <v>30</v>
      </c>
      <c r="H14" s="6" t="s">
        <v>15</v>
      </c>
      <c r="J14" t="str">
        <f t="shared" si="0"/>
        <v>204 Birch St Philadelphia, PA, 19101</v>
      </c>
    </row>
    <row r="15" spans="1:10" x14ac:dyDescent="0.3">
      <c r="A15" s="5" t="s">
        <v>83</v>
      </c>
      <c r="B15" s="1" t="s">
        <v>52</v>
      </c>
      <c r="C15" s="1" t="s">
        <v>9</v>
      </c>
      <c r="D15" s="11">
        <v>45078.417256944442</v>
      </c>
      <c r="E15" s="1" t="s">
        <v>53</v>
      </c>
      <c r="F15" s="1" t="s">
        <v>33</v>
      </c>
      <c r="G15" s="1" t="s">
        <v>26</v>
      </c>
      <c r="H15" s="6" t="s">
        <v>19</v>
      </c>
      <c r="J15" t="str">
        <f t="shared" si="0"/>
        <v>123 Elm St Chicago, IL, 60601</v>
      </c>
    </row>
    <row r="16" spans="1:10" x14ac:dyDescent="0.3">
      <c r="A16" s="5" t="s">
        <v>84</v>
      </c>
      <c r="B16" s="1" t="s">
        <v>60</v>
      </c>
      <c r="C16" s="1" t="s">
        <v>9</v>
      </c>
      <c r="D16" s="11">
        <v>45168.729328703703</v>
      </c>
      <c r="E16" s="1" t="s">
        <v>61</v>
      </c>
      <c r="F16" s="1" t="s">
        <v>28</v>
      </c>
      <c r="G16" s="1" t="s">
        <v>26</v>
      </c>
      <c r="H16" s="6" t="s">
        <v>20</v>
      </c>
      <c r="J16" t="str">
        <f t="shared" si="0"/>
        <v>456 Oak St Chicago, IL, 60601</v>
      </c>
    </row>
    <row r="17" spans="1:10" x14ac:dyDescent="0.3">
      <c r="A17" s="5" t="s">
        <v>85</v>
      </c>
      <c r="B17" s="1" t="s">
        <v>38</v>
      </c>
      <c r="C17" s="1" t="s">
        <v>7</v>
      </c>
      <c r="D17" s="11">
        <v>45218.319780092592</v>
      </c>
      <c r="E17" s="1" t="s">
        <v>39</v>
      </c>
      <c r="F17" s="1" t="s">
        <v>25</v>
      </c>
      <c r="G17" s="1" t="s">
        <v>37</v>
      </c>
      <c r="H17" s="6" t="s">
        <v>14</v>
      </c>
      <c r="J17" t="str">
        <f t="shared" si="0"/>
        <v>203 Birch St Chicago, IL, 60602</v>
      </c>
    </row>
    <row r="18" spans="1:10" x14ac:dyDescent="0.3">
      <c r="A18" s="5" t="s">
        <v>86</v>
      </c>
      <c r="B18" s="1" t="s">
        <v>40</v>
      </c>
      <c r="C18" s="1" t="s">
        <v>12</v>
      </c>
      <c r="D18" s="11">
        <v>45350.719236111108</v>
      </c>
      <c r="E18" s="1" t="s">
        <v>41</v>
      </c>
      <c r="F18" s="1" t="s">
        <v>29</v>
      </c>
      <c r="G18" s="1" t="s">
        <v>30</v>
      </c>
      <c r="H18" s="6" t="s">
        <v>10</v>
      </c>
      <c r="J18" t="str">
        <f t="shared" si="0"/>
        <v>459 Oak St Philadelphia, PA, 19101</v>
      </c>
    </row>
    <row r="19" spans="1:10" x14ac:dyDescent="0.3">
      <c r="A19" s="5" t="s">
        <v>87</v>
      </c>
      <c r="B19" s="1" t="s">
        <v>48</v>
      </c>
      <c r="C19" s="1" t="s">
        <v>7</v>
      </c>
      <c r="D19" s="11">
        <v>45418.726354166669</v>
      </c>
      <c r="E19" s="1" t="s">
        <v>49</v>
      </c>
      <c r="F19" s="1" t="s">
        <v>28</v>
      </c>
      <c r="G19" s="1" t="s">
        <v>36</v>
      </c>
      <c r="H19" s="6" t="s">
        <v>8</v>
      </c>
      <c r="J19" t="str">
        <f t="shared" si="0"/>
        <v>456 Oak St New York, NY, 10001</v>
      </c>
    </row>
    <row r="20" spans="1:10" x14ac:dyDescent="0.3">
      <c r="A20" s="5" t="s">
        <v>88</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89</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abSelected="1"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68</v>
      </c>
      <c r="B1" s="3" t="s">
        <v>2</v>
      </c>
      <c r="C1" s="3" t="s">
        <v>3</v>
      </c>
      <c r="D1" s="10" t="s">
        <v>91</v>
      </c>
      <c r="E1" s="3" t="s">
        <v>0</v>
      </c>
      <c r="F1" s="3" t="s">
        <v>21</v>
      </c>
      <c r="G1" s="3" t="s">
        <v>22</v>
      </c>
      <c r="H1" s="4" t="s">
        <v>4</v>
      </c>
      <c r="I1" s="14" t="s">
        <v>65</v>
      </c>
      <c r="J1" s="14" t="s">
        <v>66</v>
      </c>
      <c r="K1" s="13"/>
      <c r="L1" s="14" t="s">
        <v>63</v>
      </c>
      <c r="M1" s="14" t="s">
        <v>69</v>
      </c>
      <c r="N1" s="14" t="s">
        <v>90</v>
      </c>
    </row>
    <row r="2" spans="1:14" x14ac:dyDescent="0.3">
      <c r="A2" s="5" t="s">
        <v>71</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70</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72</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73</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74</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75</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76</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77</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78</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79</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80</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81</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82</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83</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84</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85</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86</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87</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88</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89</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68</v>
      </c>
      <c r="B1" s="3" t="s">
        <v>2</v>
      </c>
      <c r="C1" s="3" t="s">
        <v>3</v>
      </c>
      <c r="D1" s="10" t="s">
        <v>91</v>
      </c>
      <c r="E1" s="3" t="s">
        <v>0</v>
      </c>
      <c r="F1" s="3" t="s">
        <v>21</v>
      </c>
      <c r="G1" s="3" t="s">
        <v>22</v>
      </c>
      <c r="H1" s="4" t="s">
        <v>4</v>
      </c>
      <c r="J1" s="17" t="s">
        <v>64</v>
      </c>
      <c r="K1" s="17"/>
      <c r="L1" s="17"/>
    </row>
    <row r="2" spans="1:12" x14ac:dyDescent="0.3">
      <c r="A2" s="5" t="s">
        <v>71</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70</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72</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73</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74</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75</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76</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77</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78</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79</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80</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81</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82</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83</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84</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85</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86</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87</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88</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89</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44"/>
  <sheetViews>
    <sheetView topLeftCell="A25" zoomScale="120" zoomScaleNormal="120" workbookViewId="0">
      <selection activeCell="P33" sqref="P33"/>
    </sheetView>
  </sheetViews>
  <sheetFormatPr defaultRowHeight="14.4" x14ac:dyDescent="0.3"/>
  <cols>
    <col min="1" max="1" width="25" customWidth="1"/>
    <col min="2" max="2" width="18.44140625" bestFit="1" customWidth="1"/>
  </cols>
  <sheetData>
    <row r="2" spans="1:75" x14ac:dyDescent="0.3">
      <c r="A2" s="15" t="s">
        <v>92</v>
      </c>
      <c r="B2" s="16"/>
    </row>
    <row r="3" spans="1:75" x14ac:dyDescent="0.3">
      <c r="A3" t="str">
        <f>_xlfn.TEXTJOIN(", ",TRUE, 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93</v>
      </c>
      <c r="B8" s="15" t="s">
        <v>94</v>
      </c>
      <c r="C8" s="22"/>
      <c r="F8" s="22"/>
    </row>
    <row r="9" spans="1:75" x14ac:dyDescent="0.3">
      <c r="A9" s="1" t="str" cm="1">
        <f t="array" ref="A9:A25">_xlfn.UNIQUE(TRANSPOSE(6:6))</f>
        <v>Kafka</v>
      </c>
      <c r="B9" s="1">
        <f>COUNTIF($6:$6,A9)</f>
        <v>3</v>
      </c>
    </row>
    <row r="10" spans="1:75" x14ac:dyDescent="0.3">
      <c r="A10" s="1" t="str">
        <v>DataBricks</v>
      </c>
      <c r="B10" s="1">
        <f t="shared" ref="B10:B25" si="0">COUNTIF($6:$6,A10)</f>
        <v>12</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row r="27" spans="1:2" x14ac:dyDescent="0.3">
      <c r="A27" s="22" t="s">
        <v>93</v>
      </c>
      <c r="B27" s="22" t="s">
        <v>94</v>
      </c>
    </row>
    <row r="28" spans="1:2" x14ac:dyDescent="0.3">
      <c r="A28">
        <v>0</v>
      </c>
      <c r="B28">
        <v>0</v>
      </c>
    </row>
    <row r="29" spans="1:2" x14ac:dyDescent="0.3">
      <c r="A29" t="s">
        <v>110</v>
      </c>
      <c r="B29">
        <v>1</v>
      </c>
    </row>
    <row r="30" spans="1:2" x14ac:dyDescent="0.3">
      <c r="A30" t="s">
        <v>97</v>
      </c>
      <c r="B30">
        <v>2</v>
      </c>
    </row>
    <row r="31" spans="1:2" x14ac:dyDescent="0.3">
      <c r="A31" t="s">
        <v>98</v>
      </c>
      <c r="B31">
        <v>2</v>
      </c>
    </row>
    <row r="32" spans="1:2" x14ac:dyDescent="0.3">
      <c r="A32" t="s">
        <v>109</v>
      </c>
      <c r="B32">
        <v>2</v>
      </c>
    </row>
    <row r="33" spans="1:2" x14ac:dyDescent="0.3">
      <c r="A33" t="s">
        <v>95</v>
      </c>
      <c r="B33">
        <v>3</v>
      </c>
    </row>
    <row r="34" spans="1:2" x14ac:dyDescent="0.3">
      <c r="A34" t="s">
        <v>99</v>
      </c>
      <c r="B34">
        <v>4</v>
      </c>
    </row>
    <row r="35" spans="1:2" x14ac:dyDescent="0.3">
      <c r="A35" t="s">
        <v>104</v>
      </c>
      <c r="B35">
        <v>4</v>
      </c>
    </row>
    <row r="36" spans="1:2" x14ac:dyDescent="0.3">
      <c r="A36" t="s">
        <v>106</v>
      </c>
      <c r="B36">
        <v>4</v>
      </c>
    </row>
    <row r="37" spans="1:2" x14ac:dyDescent="0.3">
      <c r="A37" t="s">
        <v>100</v>
      </c>
      <c r="B37">
        <v>5</v>
      </c>
    </row>
    <row r="38" spans="1:2" x14ac:dyDescent="0.3">
      <c r="A38" t="s">
        <v>107</v>
      </c>
      <c r="B38">
        <v>5</v>
      </c>
    </row>
    <row r="39" spans="1:2" x14ac:dyDescent="0.3">
      <c r="A39" t="s">
        <v>108</v>
      </c>
      <c r="B39">
        <v>5</v>
      </c>
    </row>
    <row r="40" spans="1:2" x14ac:dyDescent="0.3">
      <c r="A40" t="s">
        <v>101</v>
      </c>
      <c r="B40">
        <v>6</v>
      </c>
    </row>
    <row r="41" spans="1:2" x14ac:dyDescent="0.3">
      <c r="A41" t="s">
        <v>103</v>
      </c>
      <c r="B41">
        <v>6</v>
      </c>
    </row>
    <row r="42" spans="1:2" x14ac:dyDescent="0.3">
      <c r="A42" t="s">
        <v>102</v>
      </c>
      <c r="B42">
        <v>7</v>
      </c>
    </row>
    <row r="43" spans="1:2" x14ac:dyDescent="0.3">
      <c r="A43" t="s">
        <v>105</v>
      </c>
      <c r="B43">
        <v>7</v>
      </c>
    </row>
    <row r="44" spans="1:2" x14ac:dyDescent="0.3">
      <c r="A44" t="s">
        <v>96</v>
      </c>
      <c r="B44">
        <v>12</v>
      </c>
    </row>
  </sheetData>
  <autoFilter ref="A27:B27" xr:uid="{85789AE4-586B-4DA1-B069-1172780CDADC}">
    <sortState xmlns:xlrd2="http://schemas.microsoft.com/office/spreadsheetml/2017/richdata2" ref="A28:B44">
      <sortCondition ref="B27"/>
    </sortState>
  </autoFilter>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Matěj Škerko</cp:lastModifiedBy>
  <dcterms:created xsi:type="dcterms:W3CDTF">2015-06-05T18:17:20Z</dcterms:created>
  <dcterms:modified xsi:type="dcterms:W3CDTF">2025-10-14T22:51:04Z</dcterms:modified>
</cp:coreProperties>
</file>