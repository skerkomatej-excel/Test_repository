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dor\Desktop\Leveling\Data analytics\Excel course - Luke Barousse\2_Formulas_Functions\"/>
    </mc:Choice>
  </mc:AlternateContent>
  <xr:revisionPtr revIDLastSave="0" documentId="8_{22260E8D-4490-405B-B296-177B2D8E103D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9" r:id="rId1"/>
    <sheet name="Final" sheetId="7" r:id="rId2"/>
    <sheet name="Errors" sheetId="8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9" l="1"/>
  <c r="Q11" i="9"/>
  <c r="Q10" i="9"/>
  <c r="Q9" i="9"/>
  <c r="Q8" i="9"/>
  <c r="Q7" i="9"/>
  <c r="Q6" i="9"/>
  <c r="Q5" i="9"/>
  <c r="Q4" i="9"/>
  <c r="Q3" i="9"/>
  <c r="D16" i="9"/>
  <c r="C16" i="9"/>
  <c r="D15" i="9"/>
  <c r="E15" i="9"/>
  <c r="C15" i="9"/>
  <c r="L4" i="9"/>
  <c r="L5" i="9"/>
  <c r="L6" i="9"/>
  <c r="L7" i="9"/>
  <c r="L8" i="9"/>
  <c r="L9" i="9"/>
  <c r="L10" i="9"/>
  <c r="L11" i="9"/>
  <c r="L12" i="9"/>
  <c r="L3" i="9"/>
  <c r="D14" i="9"/>
  <c r="E14" i="9"/>
  <c r="C14" i="9"/>
  <c r="D13" i="9"/>
  <c r="E13" i="9"/>
  <c r="C13" i="9"/>
  <c r="K12" i="9"/>
  <c r="H12" i="9"/>
  <c r="I12" i="9" s="1"/>
  <c r="G12" i="9"/>
  <c r="F12" i="9"/>
  <c r="K11" i="9"/>
  <c r="H11" i="9"/>
  <c r="I11" i="9" s="1"/>
  <c r="G11" i="9"/>
  <c r="F11" i="9"/>
  <c r="K10" i="9"/>
  <c r="H10" i="9"/>
  <c r="I10" i="9" s="1"/>
  <c r="G10" i="9"/>
  <c r="F10" i="9"/>
  <c r="K9" i="9"/>
  <c r="H9" i="9"/>
  <c r="I9" i="9" s="1"/>
  <c r="G9" i="9"/>
  <c r="F9" i="9"/>
  <c r="K8" i="9"/>
  <c r="H8" i="9"/>
  <c r="I8" i="9" s="1"/>
  <c r="G8" i="9"/>
  <c r="F8" i="9"/>
  <c r="M7" i="9"/>
  <c r="K7" i="9"/>
  <c r="I7" i="9"/>
  <c r="J7" i="9" s="1"/>
  <c r="H7" i="9"/>
  <c r="G7" i="9"/>
  <c r="F7" i="9"/>
  <c r="K6" i="9"/>
  <c r="H6" i="9"/>
  <c r="I6" i="9" s="1"/>
  <c r="G6" i="9"/>
  <c r="F6" i="9"/>
  <c r="K5" i="9"/>
  <c r="H5" i="9"/>
  <c r="I5" i="9" s="1"/>
  <c r="G5" i="9"/>
  <c r="F5" i="9"/>
  <c r="K4" i="9"/>
  <c r="H4" i="9"/>
  <c r="I4" i="9" s="1"/>
  <c r="G4" i="9"/>
  <c r="F4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7" i="9" l="1"/>
  <c r="P6" i="9"/>
  <c r="P5" i="9"/>
  <c r="P4" i="9"/>
  <c r="P11" i="9"/>
  <c r="P10" i="9"/>
  <c r="M12" i="9"/>
  <c r="P12" i="9" s="1"/>
  <c r="J12" i="9"/>
  <c r="J11" i="9"/>
  <c r="M11" i="9"/>
  <c r="M10" i="9"/>
  <c r="J10" i="9"/>
  <c r="J9" i="9"/>
  <c r="M9" i="9"/>
  <c r="P9" i="9" s="1"/>
  <c r="J8" i="9"/>
  <c r="M8" i="9"/>
  <c r="P8" i="9" s="1"/>
  <c r="O7" i="9"/>
  <c r="N7" i="9"/>
  <c r="J6" i="9"/>
  <c r="M6" i="9"/>
  <c r="J5" i="9"/>
  <c r="M5" i="9"/>
  <c r="J4" i="9"/>
  <c r="M4" i="9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8" i="9" l="1"/>
  <c r="N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<sst xmlns="http://schemas.openxmlformats.org/spreadsheetml/2006/main" count="84" uniqueCount="50">
  <si>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</si>
  <si>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</si>
  <si>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</si>
  <si>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</si>
  <si>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</si>
  <si>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</si>
  <si>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</si>
  <si>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</si>
  <si>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</si>
  <si>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</si>
  <si>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</si>
  <si>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</si>
  <si>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</si>
  <si>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</si>
  <si>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</si>
  <si>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</si>
  <si>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</si>
  <si>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</si>
  <si>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</si>
  <si>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</si>
  <si>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</si>
  <si>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</si>
  <si>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</si>
  <si>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</si>
  <si>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</si>
  <si>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</si>
  <si>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</si>
  <si>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</si>
  <si>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</si>
  <si>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</si>
  <si>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</si>
  <si>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</si>
  <si>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</si>
  <si>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</si>
  <si>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</si>
  <si>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</si>
  <si>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</si>
  <si>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</si>
  <si>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</si>
  <si>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</si>
  <si>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</si>
  <si>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</si>
  <si>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</si>
  <si>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</si>
  <si>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</si>
  <si>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</si>
  <si>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</si>
  <si>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</si>
  <si>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</si>
  <si>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met /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</si>
</sst>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0" borderId="20" xfId="0" applyFont="1" applyBorder="1"/>
    <xf numFmtId="0" fontId="4" fillId="0" borderId="2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U17"/>
  <sheetViews>
    <sheetView tabSelected="1" zoomScale="120" zoomScaleNormal="120" workbookViewId="0">
      <selection activeCell="R5" sqref="R5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6.77734375" style="1" bestFit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22.6640625" style="1" hidden="1" customWidth="1"/>
    <col min="12" max="12" width="16" style="1" hidden="1" customWidth="1"/>
    <col min="13" max="13" width="11.77734375" style="1" hidden="1" customWidth="1"/>
    <col min="14" max="14" width="17.5546875" style="1" hidden="1" customWidth="1"/>
    <col min="15" max="15" width="24" style="1" hidden="1" customWidth="1"/>
    <col min="16" max="16" width="17.6640625" style="1" bestFit="1" customWidth="1"/>
    <col min="17" max="17" width="25.6640625" style="1" customWidth="1"/>
    <col min="18" max="18" width="14" style="1" bestFit="1" customWidth="1"/>
    <col min="19" max="19" width="9" style="1"/>
    <col min="20" max="20" width="16" style="1" customWidth="1"/>
    <col min="21" max="21" width="20.109375" style="1" customWidth="1"/>
    <col min="22" max="16384" width="9" style="1"/>
  </cols>
  <sheetData>
    <row r="1" spans="2:21" ht="15" thickBot="1" x14ac:dyDescent="0.35">
      <c r="G1" s="28"/>
    </row>
    <row r="2" spans="2:21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41" t="s">
        <v>26</v>
      </c>
      <c r="Q2" s="42" t="s">
        <v>49</v>
      </c>
      <c r="T2" s="14" t="s">
        <v>24</v>
      </c>
      <c r="U2" s="1"/>
    </row>
    <row r="3" spans="2:21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>$U$3&gt;=C3</f>
        <v>1</v>
      </c>
      <c r="M3" s="22" t="b">
        <f>$G3&gt;=$U$4</f>
        <v>1</v>
      </c>
      <c r="N3" s="22">
        <f>L3*M3</f>
        <v>1</v>
      </c>
      <c r="O3" s="22" t="b">
        <f>L3*M3=1</f>
        <v>1</v>
      </c>
      <c r="P3" s="40" t="b">
        <f>AND(L3,M3)</f>
        <v>1</v>
      </c>
      <c r="Q3" s="43" t="str">
        <f>IF(P3, "met", "not met")</f>
        <v>met</v>
      </c>
      <c r="T3" s="10" t="s">
        <v>22</v>
      </c>
      <c r="U3" s="11">
        <v>5</v>
      </c>
    </row>
    <row r="4" spans="2:21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0">C4</f>
        <v>4</v>
      </c>
      <c r="G4" s="22">
        <f t="shared" ref="G4:G12" si="1">D4+E4</f>
        <v>147000</v>
      </c>
      <c r="H4" s="23">
        <f t="shared" ref="H4:H12" si="2">E4/D4</f>
        <v>8.8888888888888892E-2</v>
      </c>
      <c r="I4" s="24">
        <f t="shared" ref="I4:I12" si="3">D4+D4*H4</f>
        <v>147000</v>
      </c>
      <c r="J4" s="22" t="b">
        <f t="shared" ref="J4:J12" si="4">G4=I4</f>
        <v>1</v>
      </c>
      <c r="K4" s="22" t="b">
        <f t="shared" ref="K4:K12" si="5">E4&gt;D4</f>
        <v>0</v>
      </c>
      <c r="L4" s="22" t="b">
        <f>$U$3&gt;=C4</f>
        <v>1</v>
      </c>
      <c r="M4" s="22" t="b">
        <f>$G4&gt;=$U$4</f>
        <v>1</v>
      </c>
      <c r="N4" s="22">
        <f t="shared" ref="N4:N12" si="6">L4*M4</f>
        <v>1</v>
      </c>
      <c r="O4" s="22" t="b">
        <f t="shared" ref="O4:O12" si="7">L4*M4=1</f>
        <v>1</v>
      </c>
      <c r="P4" s="40" t="b">
        <f t="shared" ref="P4:P12" si="8">AND(L4,M4)</f>
        <v>1</v>
      </c>
      <c r="Q4" s="43" t="str">
        <f>IF(P4, "met", "not met")</f>
        <v>met</v>
      </c>
      <c r="T4" s="12" t="s">
        <v>23</v>
      </c>
      <c r="U4" s="13">
        <v>90000</v>
      </c>
    </row>
    <row r="5" spans="2:21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0"/>
        <v>2</v>
      </c>
      <c r="G5" s="22">
        <f t="shared" si="1"/>
        <v>80000</v>
      </c>
      <c r="H5" s="23">
        <f t="shared" si="2"/>
        <v>6.6666666666666666E-2</v>
      </c>
      <c r="I5" s="24">
        <f t="shared" si="3"/>
        <v>80000</v>
      </c>
      <c r="J5" s="22" t="b">
        <f t="shared" si="4"/>
        <v>1</v>
      </c>
      <c r="K5" s="22" t="b">
        <f t="shared" si="5"/>
        <v>0</v>
      </c>
      <c r="L5" s="22" t="b">
        <f>$U$3&gt;=C5</f>
        <v>1</v>
      </c>
      <c r="M5" s="22" t="b">
        <f>$G5&gt;=$U$4</f>
        <v>0</v>
      </c>
      <c r="N5" s="22">
        <f t="shared" si="6"/>
        <v>0</v>
      </c>
      <c r="O5" s="22" t="b">
        <f t="shared" si="7"/>
        <v>0</v>
      </c>
      <c r="P5" s="40" t="b">
        <f t="shared" si="8"/>
        <v>0</v>
      </c>
      <c r="Q5" s="43" t="str">
        <f>IF(P5, "met", "not met")</f>
        <v>not met</v>
      </c>
    </row>
    <row r="6" spans="2:21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0"/>
        <v>6</v>
      </c>
      <c r="G6" s="22">
        <f t="shared" si="1"/>
        <v>118000</v>
      </c>
      <c r="H6" s="23">
        <f t="shared" si="2"/>
        <v>7.2727272727272724E-2</v>
      </c>
      <c r="I6" s="24">
        <f t="shared" si="3"/>
        <v>118000</v>
      </c>
      <c r="J6" s="22" t="b">
        <f t="shared" si="4"/>
        <v>1</v>
      </c>
      <c r="K6" s="22" t="b">
        <f t="shared" si="5"/>
        <v>0</v>
      </c>
      <c r="L6" s="22" t="b">
        <f>$U$3&gt;=C6</f>
        <v>0</v>
      </c>
      <c r="M6" s="22" t="b">
        <f>$G6&gt;=$U$4</f>
        <v>1</v>
      </c>
      <c r="N6" s="22">
        <f t="shared" si="6"/>
        <v>0</v>
      </c>
      <c r="O6" s="22" t="b">
        <f t="shared" si="7"/>
        <v>0</v>
      </c>
      <c r="P6" s="40" t="b">
        <f t="shared" si="8"/>
        <v>0</v>
      </c>
      <c r="Q6" s="43" t="str">
        <f>IF(P6, "met", "not met")</f>
        <v>not met</v>
      </c>
    </row>
    <row r="7" spans="2:21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0"/>
        <v>3</v>
      </c>
      <c r="G7" s="22">
        <f t="shared" si="1"/>
        <v>136000</v>
      </c>
      <c r="H7" s="23">
        <f t="shared" si="2"/>
        <v>8.7999999999999995E-2</v>
      </c>
      <c r="I7" s="24">
        <f t="shared" si="3"/>
        <v>136000</v>
      </c>
      <c r="J7" s="22" t="b">
        <f t="shared" si="4"/>
        <v>1</v>
      </c>
      <c r="K7" s="22" t="b">
        <f t="shared" si="5"/>
        <v>0</v>
      </c>
      <c r="L7" s="22" t="b">
        <f>$U$3&gt;=C7</f>
        <v>1</v>
      </c>
      <c r="M7" s="22" t="b">
        <f>$G7&gt;=$U$4</f>
        <v>1</v>
      </c>
      <c r="N7" s="22">
        <f t="shared" si="6"/>
        <v>1</v>
      </c>
      <c r="O7" s="22" t="b">
        <f t="shared" si="7"/>
        <v>1</v>
      </c>
      <c r="P7" s="40" t="b">
        <f t="shared" si="8"/>
        <v>1</v>
      </c>
      <c r="Q7" s="43" t="str">
        <f>IF(P7, "met", "not met")</f>
        <v>met</v>
      </c>
    </row>
    <row r="8" spans="2:21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0"/>
        <v>7</v>
      </c>
      <c r="G8" s="22">
        <f t="shared" si="1"/>
        <v>97000</v>
      </c>
      <c r="H8" s="23">
        <f t="shared" si="2"/>
        <v>7.7777777777777779E-2</v>
      </c>
      <c r="I8" s="24">
        <f t="shared" si="3"/>
        <v>97000</v>
      </c>
      <c r="J8" s="22" t="b">
        <f t="shared" si="4"/>
        <v>1</v>
      </c>
      <c r="K8" s="22" t="b">
        <f t="shared" si="5"/>
        <v>0</v>
      </c>
      <c r="L8" s="22" t="b">
        <f>$U$3&gt;=C8</f>
        <v>0</v>
      </c>
      <c r="M8" s="22" t="b">
        <f>$G8&gt;=$U$4</f>
        <v>1</v>
      </c>
      <c r="N8" s="22">
        <f t="shared" si="6"/>
        <v>0</v>
      </c>
      <c r="O8" s="22" t="b">
        <f t="shared" si="7"/>
        <v>0</v>
      </c>
      <c r="P8" s="40" t="b">
        <f t="shared" si="8"/>
        <v>0</v>
      </c>
      <c r="Q8" s="43" t="str">
        <f>IF(P8, "met", "not met")</f>
        <v>not met</v>
      </c>
    </row>
    <row r="9" spans="2:21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0"/>
        <v>10</v>
      </c>
      <c r="G9" s="22">
        <f t="shared" si="1"/>
        <v>165000</v>
      </c>
      <c r="H9" s="23">
        <f t="shared" si="2"/>
        <v>0.1</v>
      </c>
      <c r="I9" s="24">
        <f t="shared" si="3"/>
        <v>165000</v>
      </c>
      <c r="J9" s="22" t="b">
        <f t="shared" si="4"/>
        <v>1</v>
      </c>
      <c r="K9" s="22" t="b">
        <f t="shared" si="5"/>
        <v>0</v>
      </c>
      <c r="L9" s="22" t="b">
        <f>$U$3&gt;=C9</f>
        <v>0</v>
      </c>
      <c r="M9" s="22" t="b">
        <f>$G9&gt;=$U$4</f>
        <v>1</v>
      </c>
      <c r="N9" s="22">
        <f t="shared" si="6"/>
        <v>0</v>
      </c>
      <c r="O9" s="22" t="b">
        <f t="shared" si="7"/>
        <v>0</v>
      </c>
      <c r="P9" s="40" t="b">
        <f t="shared" si="8"/>
        <v>0</v>
      </c>
      <c r="Q9" s="43" t="str">
        <f>IF(P9, "met", "not met")</f>
        <v>not met</v>
      </c>
    </row>
    <row r="10" spans="2:21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0"/>
        <v>8</v>
      </c>
      <c r="G10" s="22">
        <f t="shared" si="1"/>
        <v>143000</v>
      </c>
      <c r="H10" s="23">
        <f t="shared" si="2"/>
        <v>0.1</v>
      </c>
      <c r="I10" s="24">
        <f t="shared" si="3"/>
        <v>143000</v>
      </c>
      <c r="J10" s="22" t="b">
        <f t="shared" si="4"/>
        <v>1</v>
      </c>
      <c r="K10" s="22" t="b">
        <f t="shared" si="5"/>
        <v>0</v>
      </c>
      <c r="L10" s="22" t="b">
        <f>$U$3&gt;=C10</f>
        <v>0</v>
      </c>
      <c r="M10" s="22" t="b">
        <f>$G10&gt;=$U$4</f>
        <v>1</v>
      </c>
      <c r="N10" s="22">
        <f t="shared" si="6"/>
        <v>0</v>
      </c>
      <c r="O10" s="22" t="b">
        <f t="shared" si="7"/>
        <v>0</v>
      </c>
      <c r="P10" s="40" t="b">
        <f t="shared" si="8"/>
        <v>0</v>
      </c>
      <c r="Q10" s="43" t="str">
        <f>IF(P10, "met", "not met")</f>
        <v>not met</v>
      </c>
    </row>
    <row r="11" spans="2:21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0"/>
        <v>3</v>
      </c>
      <c r="G11" s="22">
        <f t="shared" si="1"/>
        <v>154000</v>
      </c>
      <c r="H11" s="23">
        <f t="shared" si="2"/>
        <v>0.1</v>
      </c>
      <c r="I11" s="24">
        <f t="shared" si="3"/>
        <v>154000</v>
      </c>
      <c r="J11" s="22" t="b">
        <f t="shared" si="4"/>
        <v>1</v>
      </c>
      <c r="K11" s="22" t="b">
        <f t="shared" si="5"/>
        <v>0</v>
      </c>
      <c r="L11" s="22" t="b">
        <f>$U$3&gt;=C11</f>
        <v>1</v>
      </c>
      <c r="M11" s="22" t="b">
        <f>$G11&gt;=$U$4</f>
        <v>1</v>
      </c>
      <c r="N11" s="22">
        <f t="shared" si="6"/>
        <v>1</v>
      </c>
      <c r="O11" s="22" t="b">
        <f t="shared" si="7"/>
        <v>1</v>
      </c>
      <c r="P11" s="40" t="b">
        <f t="shared" si="8"/>
        <v>1</v>
      </c>
      <c r="Q11" s="43" t="str">
        <f>IF(P11, "met", "not met")</f>
        <v>met</v>
      </c>
    </row>
    <row r="12" spans="2:21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0"/>
        <v>5</v>
      </c>
      <c r="G12" s="22">
        <f t="shared" si="1"/>
        <v>124000</v>
      </c>
      <c r="H12" s="23">
        <f t="shared" si="2"/>
        <v>7.8260869565217397E-2</v>
      </c>
      <c r="I12" s="24">
        <f t="shared" si="3"/>
        <v>124000</v>
      </c>
      <c r="J12" s="22" t="b">
        <f t="shared" si="4"/>
        <v>1</v>
      </c>
      <c r="K12" s="22" t="b">
        <f t="shared" si="5"/>
        <v>0</v>
      </c>
      <c r="L12" s="22" t="b">
        <f>$U$3&gt;=C12</f>
        <v>1</v>
      </c>
      <c r="M12" s="22" t="b">
        <f>$G12&gt;=$U$4</f>
        <v>1</v>
      </c>
      <c r="N12" s="22">
        <f t="shared" si="6"/>
        <v>1</v>
      </c>
      <c r="O12" s="22" t="b">
        <f t="shared" si="7"/>
        <v>1</v>
      </c>
      <c r="P12" s="40" t="b">
        <f t="shared" si="8"/>
        <v>1</v>
      </c>
      <c r="Q12" s="43" t="str">
        <f>IF(P12, "met", "not met")</f>
        <v>met</v>
      </c>
    </row>
    <row r="13" spans="2:21" ht="15" thickTop="1" x14ac:dyDescent="0.3">
      <c r="B13" s="29" t="s">
        <v>27</v>
      </c>
      <c r="C13" s="19">
        <f>SUM(C3:C12)/10</f>
        <v>5.3</v>
      </c>
      <c r="D13" s="19">
        <f>SUM(D3:D12)/10</f>
        <v>119000</v>
      </c>
      <c r="E13" s="19">
        <f>SUM(E3:E12)/10</f>
        <v>10400</v>
      </c>
    </row>
    <row r="14" spans="2:21" ht="15" thickBot="1" x14ac:dyDescent="0.35">
      <c r="B14" s="31" t="s">
        <v>28</v>
      </c>
      <c r="C14" s="20">
        <f>AVERAGE(C3:C12)</f>
        <v>5.3</v>
      </c>
      <c r="D14" s="20">
        <f>AVERAGE(D3:D12)</f>
        <v>119000</v>
      </c>
      <c r="E14" s="20">
        <f>AVERAGE(E3:E12)</f>
        <v>10400</v>
      </c>
    </row>
    <row r="15" spans="2:21" ht="15" thickTop="1" x14ac:dyDescent="0.3">
      <c r="B15" s="29" t="s">
        <v>30</v>
      </c>
      <c r="C15" s="19">
        <f>COUNT(C3:C12)</f>
        <v>10</v>
      </c>
      <c r="D15" s="19">
        <f>COUNT(D3:D12)</f>
        <v>10</v>
      </c>
      <c r="E15" s="19">
        <f>COUNT(E3:E12)</f>
        <v>10</v>
      </c>
    </row>
    <row r="16" spans="2:21" x14ac:dyDescent="0.3">
      <c r="B16" s="33" t="s">
        <v>31</v>
      </c>
      <c r="C16" s="18">
        <f>COUNTIF(C3:C12,"&lt;="&amp;U3)</f>
        <v>6</v>
      </c>
      <c r="D16" s="18">
        <f>COUNTIF(D3:D12,"&gt;="&amp;U4)</f>
        <v>9</v>
      </c>
      <c r="E16" s="34"/>
    </row>
    <row r="17" spans="2:5" ht="15" thickBot="1" x14ac:dyDescent="0.35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>(D3+D4+D5+D6+D7+D8+D9+D10+D11+D12)/10</f>
        <v>119000</v>
      </c>
      <c r="E13" s="30">
        <f>(E3+E4+E5+E6+E7+E8+E9+E10+E11+E12)/10</f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>AVERAGE(D3:D12)</f>
        <v>119000</v>
      </c>
      <c r="E14" s="32">
        <f>AVERAGE(E3:E12)</f>
        <v>10400</v>
      </c>
      <c r="F14" s="1">
        <f>AVERAGE(F3:F12)</f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>COUNT(D3:D12)</f>
        <v>10</v>
      </c>
      <c r="E15" s="30">
        <f>COUNT(E3:E12)</f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Matěj Škerko</cp:lastModifiedBy>
  <dcterms:created xsi:type="dcterms:W3CDTF">2024-07-16T20:11:02Z</dcterms:created>
  <dcterms:modified xsi:type="dcterms:W3CDTF">2025-10-11T16:19:30Z</dcterms:modified>
</cp:coreProperties>
</file>