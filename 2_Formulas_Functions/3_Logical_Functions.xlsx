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ador\Desktop\Leveling\Data analytics\Excel course - Luke Barousse\2_Formulas_Functions\"/>
    </mc:Choice>
  </mc:AlternateContent>
  <xr:revisionPtr revIDLastSave="0" documentId="13_ncr:1_{8BBA5822-ABBD-44C0-88CF-B959F5125B53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/>
  <c r="R5" i="10" a="1"/>
  <c r="R5" i="10" s="1"/>
  <c r="R6" i="10" a="1"/>
  <c r="R6" i="10" s="1"/>
  <c r="R7" i="10" a="1"/>
  <c r="R7" i="10" s="1"/>
  <c r="R8" i="10" a="1"/>
  <c r="R8" i="10" s="1"/>
  <c r="R9" i="10" a="1"/>
  <c r="R9" i="10"/>
  <c r="R10" i="10" a="1"/>
  <c r="R10" i="10" s="1"/>
  <c r="R11" i="10" a="1"/>
  <c r="R11" i="10"/>
  <c r="R12" i="10" a="1"/>
  <c r="R12" i="10"/>
  <c r="R13" i="10" a="1"/>
  <c r="R13" i="10" s="1"/>
  <c r="R14" i="10" a="1"/>
  <c r="R14" i="10"/>
  <c r="R15" i="10" a="1"/>
  <c r="R15" i="10"/>
  <c r="R16" i="10" a="1"/>
  <c r="R16" i="10" s="1"/>
  <c r="R17" i="10" a="1"/>
  <c r="R17" i="10"/>
  <c r="R18" i="10" a="1"/>
  <c r="R18" i="10"/>
  <c r="R19" i="10" a="1"/>
  <c r="R19" i="10" s="1"/>
  <c r="R20" i="10" a="1"/>
  <c r="R20" i="10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3" i="10"/>
  <c r="M2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<sst xmlns="http://schemas.openxmlformats.org/spreadsheetml/2006/main" count="395" uniqueCount="144">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</sst>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B3" sqref="B3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T12" sqref="T12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1.5546875" hidden="1" customWidth="1"/>
    <col min="12" max="12" width="14.88671875" hidden="1" customWidth="1"/>
    <col min="13" max="13" width="10.88671875" hidden="1" customWidth="1"/>
    <col min="14" max="14" width="7.109375" hidden="1" customWidth="1"/>
    <col min="15" max="15" width="6" hidden="1" customWidth="1"/>
    <col min="16" max="16" width="10.88671875" customWidth="1"/>
    <col min="17" max="18" width="8.554687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 "Desired", "NOT desired")</f>
        <v>NOT desired</v>
      </c>
      <c r="L2" t="str">
        <f>IF($A2=L$1, "Desired", "NOT desired")</f>
        <v>NOT desired</v>
      </c>
      <c r="M2" t="str">
        <f>IF($A2=K$1, "Desired", IF($A2=L$1, "Desired", "NOT desired"))</f>
        <v>NOT desired</v>
      </c>
      <c r="N2" t="b">
        <f>AND($A2=K$1, $A2=L$1)</f>
        <v>0</v>
      </c>
      <c r="O2" t="b">
        <f>OR($A2=K$1, $A2=L$1)</f>
        <v>0</v>
      </c>
      <c r="P2" t="str">
        <f>IF(OR($A2=K$1, $A2=L$1), "Desired", "NOT desired")</f>
        <v>NOT desired</v>
      </c>
      <c r="Q2" t="str">
        <f>IF($H2&gt;=$Q$1, "Salary OK", "Salary low" )</f>
        <v>Salary OK</v>
      </c>
      <c r="R2" t="str" cm="1">
        <f t="array" ref="R2">_xlfn.IFS($H2="", "No data", $H2&gt;=85000, "Salary OK", $H2&lt;85000, "Salary low")</f>
        <v>Salary OK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 "Desired", "NOT desired")</f>
        <v>Desired</v>
      </c>
      <c r="L3" t="str">
        <f t="shared" si="0"/>
        <v>NOT desired</v>
      </c>
      <c r="M3" t="str">
        <f>IF($A3=K$1, "Desired", IF($A3=L$1, "Desired", "NOT desired"))</f>
        <v>Desired</v>
      </c>
      <c r="N3" t="b">
        <f t="shared" ref="N3:N21" si="1">AND($A3=K$1, $A3=L$1)</f>
        <v>0</v>
      </c>
      <c r="O3" t="b">
        <f t="shared" ref="O3:O21" si="2">OR($A3=K$1, $A3=L$1)</f>
        <v>1</v>
      </c>
      <c r="P3" t="str">
        <f t="shared" ref="P3:P21" si="3">IF(OR($A3=K$1, $A3=L$1), "Desired", "NOT desired")</f>
        <v>Desired</v>
      </c>
      <c r="Q3" t="str">
        <f t="shared" ref="Q3:Q21" si="4">IF($H3&gt;=$Q$1, "Salary OK", "Salary low" )</f>
        <v>Salary low</v>
      </c>
      <c r="R3" t="str" cm="1">
        <f t="array" ref="R3">_xlfn.IFS($H3="", "No data", $H3&gt;=85000, "Salary OK", $H3&lt;85000, "Salary low")</f>
        <v>Salary low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Desired</v>
      </c>
      <c r="L4" t="str">
        <f t="shared" si="0"/>
        <v>NOT desired</v>
      </c>
      <c r="M4" t="str">
        <f t="shared" ref="M4:M21" si="5">IF($A4=K$1, "Desired", IF($A4=L$1, "Desired", "NOT desired"))</f>
        <v>Desired</v>
      </c>
      <c r="N4" t="b">
        <f t="shared" si="1"/>
        <v>0</v>
      </c>
      <c r="O4" t="b">
        <f t="shared" si="2"/>
        <v>1</v>
      </c>
      <c r="P4" t="str">
        <f t="shared" si="3"/>
        <v>Desired</v>
      </c>
      <c r="Q4" t="str">
        <f t="shared" si="4"/>
        <v>Salary low</v>
      </c>
      <c r="R4" t="str" cm="1">
        <f t="array" ref="R4">_xlfn.IFS($H4="", "No data", $H4&gt;=85000, "Salary OK", $H4&lt;85000, "Salary low")</f>
        <v>No data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5"/>
        <v>NOT desired</v>
      </c>
      <c r="N5" t="b">
        <f t="shared" si="1"/>
        <v>0</v>
      </c>
      <c r="O5" t="b">
        <f t="shared" si="2"/>
        <v>0</v>
      </c>
      <c r="P5" t="str">
        <f t="shared" si="3"/>
        <v>NOT desired</v>
      </c>
      <c r="Q5" t="str">
        <f t="shared" si="4"/>
        <v>Salary low</v>
      </c>
      <c r="R5" t="str" cm="1">
        <f t="array" ref="R5">_xlfn.IFS($H5="", "No data", $H5&gt;=85000, "Salary OK", $H5&lt;85000, "Salary low")</f>
        <v>No data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5"/>
        <v>NOT desired</v>
      </c>
      <c r="N6" t="b">
        <f t="shared" si="1"/>
        <v>0</v>
      </c>
      <c r="O6" t="b">
        <f t="shared" si="2"/>
        <v>0</v>
      </c>
      <c r="P6" t="str">
        <f t="shared" si="3"/>
        <v>NOT desired</v>
      </c>
      <c r="Q6" t="str">
        <f t="shared" si="4"/>
        <v>Salary low</v>
      </c>
      <c r="R6" t="str" cm="1">
        <f t="array" ref="R6">_xlfn.IFS($H6="", "No data", $H6&gt;=85000, "Salary OK", $H6&lt;85000, "Salary low")</f>
        <v>No data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5"/>
        <v>NOT desired</v>
      </c>
      <c r="N7" t="b">
        <f t="shared" si="1"/>
        <v>0</v>
      </c>
      <c r="O7" t="b">
        <f t="shared" si="2"/>
        <v>0</v>
      </c>
      <c r="P7" t="str">
        <f t="shared" si="3"/>
        <v>NOT desired</v>
      </c>
      <c r="Q7" t="str">
        <f t="shared" si="4"/>
        <v>Salary low</v>
      </c>
      <c r="R7" t="str" cm="1">
        <f t="array" ref="R7">_xlfn.IFS($H7="", "No data", $H7&gt;=85000, "Salary OK", $H7&lt;85000, "Salary low")</f>
        <v>No data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</v>
      </c>
      <c r="L8" t="str">
        <f t="shared" si="0"/>
        <v>NOT desired</v>
      </c>
      <c r="M8" t="str">
        <f t="shared" si="5"/>
        <v>Desired</v>
      </c>
      <c r="N8" t="b">
        <f t="shared" si="1"/>
        <v>0</v>
      </c>
      <c r="O8" t="b">
        <f t="shared" si="2"/>
        <v>1</v>
      </c>
      <c r="P8" t="str">
        <f t="shared" si="3"/>
        <v>Desired</v>
      </c>
      <c r="Q8" t="str">
        <f t="shared" si="4"/>
        <v>Salary low</v>
      </c>
      <c r="R8" t="str" cm="1">
        <f t="array" ref="R8">_xlfn.IFS($H8="", "No data", $H8&gt;=85000, "Salary OK", $H8&lt;85000, "Salary low")</f>
        <v>No data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</v>
      </c>
      <c r="L9" t="str">
        <f t="shared" si="0"/>
        <v>NOT desired</v>
      </c>
      <c r="M9" t="str">
        <f t="shared" si="5"/>
        <v>Desired</v>
      </c>
      <c r="N9" t="b">
        <f t="shared" si="1"/>
        <v>0</v>
      </c>
      <c r="O9" t="b">
        <f t="shared" si="2"/>
        <v>1</v>
      </c>
      <c r="P9" t="str">
        <f t="shared" si="3"/>
        <v>Desired</v>
      </c>
      <c r="Q9" t="str">
        <f t="shared" si="4"/>
        <v>Salary OK</v>
      </c>
      <c r="R9" t="str" cm="1">
        <f t="array" ref="R9">_xlfn.IFS($H9="", "No data", $H9&gt;=85000, "Salary OK", $H9&lt;85000, "Salary low")</f>
        <v>Salary OK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</v>
      </c>
      <c r="L10" t="str">
        <f t="shared" si="0"/>
        <v>NOT desired</v>
      </c>
      <c r="M10" t="str">
        <f t="shared" si="5"/>
        <v>Desired</v>
      </c>
      <c r="N10" t="b">
        <f t="shared" si="1"/>
        <v>0</v>
      </c>
      <c r="O10" t="b">
        <f t="shared" si="2"/>
        <v>1</v>
      </c>
      <c r="P10" t="str">
        <f t="shared" si="3"/>
        <v>Desired</v>
      </c>
      <c r="Q10" t="str">
        <f t="shared" si="4"/>
        <v>Salary low</v>
      </c>
      <c r="R10" t="str" cm="1">
        <f t="array" ref="R10">_xlfn.IFS($H10="", "No data", $H10&gt;=85000, "Salary OK", $H10&lt;85000, "Salary low")</f>
        <v>No data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</v>
      </c>
      <c r="L11" t="str">
        <f t="shared" si="0"/>
        <v>NOT desired</v>
      </c>
      <c r="M11" t="str">
        <f t="shared" si="5"/>
        <v>Desired</v>
      </c>
      <c r="N11" t="b">
        <f t="shared" si="1"/>
        <v>0</v>
      </c>
      <c r="O11" t="b">
        <f t="shared" si="2"/>
        <v>1</v>
      </c>
      <c r="P11" t="str">
        <f t="shared" si="3"/>
        <v>Desired</v>
      </c>
      <c r="Q11" t="str">
        <f t="shared" si="4"/>
        <v>Salary OK</v>
      </c>
      <c r="R11" t="str" cm="1">
        <f t="array" ref="R11">_xlfn.IFS($H11="", "No data", $H11&gt;=85000, "Salary OK", $H11&lt;85000, "Salary low")</f>
        <v>Salary OK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5"/>
        <v>NOT desired</v>
      </c>
      <c r="N12" t="b">
        <f t="shared" si="1"/>
        <v>0</v>
      </c>
      <c r="O12" t="b">
        <f t="shared" si="2"/>
        <v>0</v>
      </c>
      <c r="P12" t="str">
        <f t="shared" si="3"/>
        <v>NOT desired</v>
      </c>
      <c r="Q12" t="str">
        <f t="shared" si="4"/>
        <v>Salary OK</v>
      </c>
      <c r="R12" t="str" cm="1">
        <f t="array" ref="R12">_xlfn.IFS($H12="", "No data", $H12&gt;=85000, "Salary OK", $H12&lt;85000, "Salary low")</f>
        <v>Salary OK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5"/>
        <v>NOT desired</v>
      </c>
      <c r="N13" t="b">
        <f t="shared" si="1"/>
        <v>0</v>
      </c>
      <c r="O13" t="b">
        <f t="shared" si="2"/>
        <v>0</v>
      </c>
      <c r="P13" t="str">
        <f t="shared" si="3"/>
        <v>NOT desired</v>
      </c>
      <c r="Q13" t="str">
        <f t="shared" si="4"/>
        <v>Salary OK</v>
      </c>
      <c r="R13" t="str" cm="1">
        <f t="array" ref="R13">_xlfn.IFS($H13="", "No data", $H13&gt;=85000, "Salary OK", $H13&lt;85000, "Salary low")</f>
        <v>Salary OK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5"/>
        <v>NOT desired</v>
      </c>
      <c r="N14" t="b">
        <f t="shared" si="1"/>
        <v>0</v>
      </c>
      <c r="O14" t="b">
        <f t="shared" si="2"/>
        <v>0</v>
      </c>
      <c r="P14" t="str">
        <f t="shared" si="3"/>
        <v>NOT desired</v>
      </c>
      <c r="Q14" t="str">
        <f t="shared" si="4"/>
        <v>Salary OK</v>
      </c>
      <c r="R14" t="str" cm="1">
        <f t="array" ref="R14">_xlfn.IFS($H14="", "No data", $H14&gt;=85000, "Salary OK", $H14&lt;85000, "Salary low")</f>
        <v>Salary OK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5"/>
        <v>NOT desired</v>
      </c>
      <c r="N15" t="b">
        <f t="shared" si="1"/>
        <v>0</v>
      </c>
      <c r="O15" t="b">
        <f t="shared" si="2"/>
        <v>0</v>
      </c>
      <c r="P15" t="str">
        <f t="shared" si="3"/>
        <v>NOT desired</v>
      </c>
      <c r="Q15" t="str">
        <f t="shared" si="4"/>
        <v>Salary low</v>
      </c>
      <c r="R15" t="str" cm="1">
        <f t="array" ref="R15">_xlfn.IFS($H15="", "No data", $H15&gt;=85000, "Salary OK", $H15&lt;85000, "Salary low")</f>
        <v>Salary low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5"/>
        <v>NOT desired</v>
      </c>
      <c r="N16" t="b">
        <f t="shared" si="1"/>
        <v>0</v>
      </c>
      <c r="O16" t="b">
        <f t="shared" si="2"/>
        <v>0</v>
      </c>
      <c r="P16" t="str">
        <f t="shared" si="3"/>
        <v>NOT desired</v>
      </c>
      <c r="Q16" t="str">
        <f t="shared" si="4"/>
        <v>Salary OK</v>
      </c>
      <c r="R16" t="str" cm="1">
        <f t="array" ref="R16">_xlfn.IFS($H16="", "No data", $H16&gt;=85000, "Salary OK", $H16&lt;85000, "Salary low")</f>
        <v>Salary OK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5"/>
        <v>NOT desired</v>
      </c>
      <c r="N17" t="b">
        <f t="shared" si="1"/>
        <v>0</v>
      </c>
      <c r="O17" t="b">
        <f t="shared" si="2"/>
        <v>0</v>
      </c>
      <c r="P17" t="str">
        <f t="shared" si="3"/>
        <v>NOT desired</v>
      </c>
      <c r="Q17" t="str">
        <f t="shared" si="4"/>
        <v>Salary OK</v>
      </c>
      <c r="R17" t="str" cm="1">
        <f t="array" ref="R17">_xlfn.IFS($H17="", "No data", $H17&gt;=85000, "Salary OK", $H17&lt;85000, "Salary low")</f>
        <v>Salary OK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Desired</v>
      </c>
      <c r="M18" t="str">
        <f t="shared" si="5"/>
        <v>Desired</v>
      </c>
      <c r="N18" t="b">
        <f t="shared" si="1"/>
        <v>0</v>
      </c>
      <c r="O18" t="b">
        <f t="shared" si="2"/>
        <v>1</v>
      </c>
      <c r="P18" t="str">
        <f t="shared" si="3"/>
        <v>Desired</v>
      </c>
      <c r="Q18" t="str">
        <f t="shared" si="4"/>
        <v>Salary low</v>
      </c>
      <c r="R18" t="str" cm="1">
        <f t="array" ref="R18">_xlfn.IFS($H18="", "No data", $H18&gt;=85000, "Salary OK", $H18&lt;85000,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5"/>
        <v>NOT desired</v>
      </c>
      <c r="N19" t="b">
        <f t="shared" si="1"/>
        <v>0</v>
      </c>
      <c r="O19" t="b">
        <f t="shared" si="2"/>
        <v>0</v>
      </c>
      <c r="P19" t="str">
        <f t="shared" si="3"/>
        <v>NOT desired</v>
      </c>
      <c r="Q19" t="str">
        <f t="shared" si="4"/>
        <v>Salary OK</v>
      </c>
      <c r="R19" t="str" cm="1">
        <f t="array" ref="R19">_xlfn.IFS($H19="", "No data", $H19&gt;=85000, "Salary OK", $H19&lt;85000, "Salary low")</f>
        <v>Salary OK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5"/>
        <v>NOT desired</v>
      </c>
      <c r="N20" t="b">
        <f t="shared" si="1"/>
        <v>0</v>
      </c>
      <c r="O20" t="b">
        <f t="shared" si="2"/>
        <v>0</v>
      </c>
      <c r="P20" t="str">
        <f t="shared" si="3"/>
        <v>NOT desired</v>
      </c>
      <c r="Q20" t="str">
        <f t="shared" si="4"/>
        <v>Salary low</v>
      </c>
      <c r="R20" t="str" cm="1">
        <f t="array" ref="R20">_xlfn.IFS($H20="", "No data", $H20&gt;=85000, "Salary OK", $H20&lt;85000,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Desired</v>
      </c>
      <c r="M21" t="str">
        <f t="shared" si="5"/>
        <v>Desired</v>
      </c>
      <c r="N21" t="b">
        <f t="shared" si="1"/>
        <v>0</v>
      </c>
      <c r="O21" t="b">
        <f t="shared" si="2"/>
        <v>1</v>
      </c>
      <c r="P21" t="str">
        <f t="shared" si="3"/>
        <v>Desired</v>
      </c>
      <c r="Q21" t="str">
        <f t="shared" si="4"/>
        <v>Salary OK</v>
      </c>
      <c r="R21" t="str" cm="1">
        <f t="array" ref="R21">_xlfn.IFS($H21="", "No data", $H21&gt;=85000, "Salary OK", $H21&lt;85000, "Salary low")</f>
        <v>Salary OK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Matěj Škerko</cp:lastModifiedBy>
  <dcterms:created xsi:type="dcterms:W3CDTF">2024-07-16T20:11:02Z</dcterms:created>
  <dcterms:modified xsi:type="dcterms:W3CDTF">2025-10-11T20:02:14Z</dcterms:modified>
</cp:coreProperties>
</file>