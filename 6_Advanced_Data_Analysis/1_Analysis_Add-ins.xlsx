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6_Advanced_Data_Analysis\"/>
    </mc:Choice>
  </mc:AlternateContent>
  <xr:revisionPtr revIDLastSave="0" documentId="13_ncr:1_{E36D0EC9-2B04-4D9C-9281-E760CEA8A63E}" xr6:coauthVersionLast="47" xr6:coauthVersionMax="47" xr10:uidLastSave="{00000000-0000-0000-0000-000000000000}"/>
  <bookViews>
    <workbookView xWindow="-108" yWindow="-108" windowWidth="23256" windowHeight="12456" firstSheet="2" activeTab="4" xr2:uid="{6C37AC85-509F-4D10-9DB1-F70D16D6FBAB}"/>
  </bookViews>
  <sheets>
    <sheet name="Sheet1" sheetId="16" r:id="rId1"/>
    <sheet name="Forecast_Original" sheetId="7" r:id="rId2"/>
    <sheet name="Forecast_Final" sheetId="8" r:id="rId3"/>
    <sheet name="Scenario PivotTable" sheetId="24" r:id="rId4"/>
    <sheet name="Scenario Summary" sheetId="29" r:id="rId5"/>
    <sheet name="What-If_Analysis" sheetId="3" r:id="rId6"/>
    <sheet name="Scenario_Summary" sheetId="12" r:id="rId7"/>
    <sheet name="Answer_Report" sheetId="13" r:id="rId8"/>
    <sheet name="Limits_Report" sheetId="15" r:id="rId9"/>
  </sheets>
  <definedNames>
    <definedName name="base" localSheetId="5">'What-If_Analysis'!$C$3</definedName>
    <definedName name="bonus" localSheetId="5">'What-If_Analysis'!$C$4</definedName>
    <definedName name="raise" localSheetId="5">'What-If_Analysis'!$C$5</definedName>
    <definedName name="solver_adj" localSheetId="5" hidden="1">'What-If_Analysis'!$M$2:$M$4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'What-If_Analysis'!$M$3</definedName>
    <definedName name="solver_lhs2" localSheetId="5" hidden="1">'What-If_Analysis'!$C$5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'What-If_Analysis'!$M$9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hs1" localSheetId="5" hidden="1">40</definedName>
    <definedName name="solver_rhs2" localSheetId="5" hidden="1">0.035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8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2</definedName>
    <definedName name="solver_ver" localSheetId="5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/>
  <c r="C9" i="3"/>
  <c r="C367" i="16"/>
  <c r="C379" i="16"/>
  <c r="C391" i="16"/>
  <c r="C394" i="16"/>
  <c r="C368" i="16"/>
  <c r="C380" i="16"/>
  <c r="C392" i="16"/>
  <c r="C382" i="16"/>
  <c r="C369" i="16"/>
  <c r="C381" i="16"/>
  <c r="C393" i="16"/>
  <c r="C370" i="16"/>
  <c r="C371" i="16"/>
  <c r="C372" i="16"/>
  <c r="C384" i="16"/>
  <c r="C396" i="16"/>
  <c r="C373" i="16"/>
  <c r="C385" i="16"/>
  <c r="C397" i="16"/>
  <c r="C374" i="16"/>
  <c r="C386" i="16"/>
  <c r="C375" i="16"/>
  <c r="C387" i="16"/>
  <c r="C376" i="16"/>
  <c r="C388" i="16"/>
  <c r="C390" i="16"/>
  <c r="C383" i="16"/>
  <c r="C377" i="16"/>
  <c r="C389" i="16"/>
  <c r="C378" i="16"/>
  <c r="C395" i="16"/>
  <c r="D378" i="16"/>
  <c r="E376" i="16"/>
  <c r="E385" i="16"/>
  <c r="D370" i="16"/>
  <c r="D380" i="16"/>
  <c r="E373" i="16"/>
  <c r="D393" i="16"/>
  <c r="E377" i="16"/>
  <c r="E381" i="16"/>
  <c r="D377" i="16"/>
  <c r="E396" i="16"/>
  <c r="D394" i="16"/>
  <c r="D386" i="16"/>
  <c r="D384" i="16"/>
  <c r="E391" i="16"/>
  <c r="E374" i="16"/>
  <c r="D382" i="16"/>
  <c r="D397" i="16"/>
  <c r="E392" i="16"/>
  <c r="D395" i="16"/>
  <c r="D392" i="16"/>
  <c r="D376" i="16"/>
  <c r="E370" i="16"/>
  <c r="E389" i="16"/>
  <c r="D387" i="16"/>
  <c r="D373" i="16"/>
  <c r="E393" i="16"/>
  <c r="E368" i="16"/>
  <c r="D389" i="16"/>
  <c r="E387" i="16"/>
  <c r="D368" i="16"/>
  <c r="D375" i="16"/>
  <c r="D396" i="16"/>
  <c r="E394" i="16"/>
  <c r="E375" i="16"/>
  <c r="D381" i="16"/>
  <c r="E383" i="16"/>
  <c r="E369" i="16"/>
  <c r="E372" i="16"/>
  <c r="E395" i="16"/>
  <c r="E397" i="16"/>
  <c r="D367" i="16"/>
  <c r="D385" i="16"/>
  <c r="E371" i="16"/>
  <c r="D383" i="16"/>
  <c r="E386" i="16"/>
  <c r="E384" i="16"/>
  <c r="D369" i="16"/>
  <c r="D391" i="16"/>
  <c r="E390" i="16"/>
  <c r="D374" i="16"/>
  <c r="D372" i="16"/>
  <c r="E382" i="16"/>
  <c r="E379" i="16"/>
  <c r="D390" i="16"/>
  <c r="D379" i="16"/>
  <c r="D388" i="16"/>
  <c r="E367" i="16"/>
  <c r="E388" i="16"/>
  <c r="D371" i="16"/>
  <c r="E378" i="16"/>
  <c r="E380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<sst xmlns="http://schemas.openxmlformats.org/spreadsheetml/2006/main" count="158" uniqueCount="97">
  <si>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</si>
  <si>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</si>
  <si>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</si>
  <si>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</si>
  <si>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</si>
  <si>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</si>
  <si>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</si>
  <si>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</si>
  <si>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</si>
  <si>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</si>
  <si>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</si>
  <si>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</si>
  <si>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</si>
  <si>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</si>
  <si>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</si>
  <si>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</si>
  <si>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</si>
  <si>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</si>
  <si>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</si>
  <si>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</si>
  <si>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</si>
  <si>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</si>
  <si>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</si>
  <si>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</si>
  <si>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</si>
  <si>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</si>
  <si>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</si>
  <si>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</si>
  <si>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</si>
  <si>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</si>
  <si>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</si>
  <si>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</si>
  <si>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</si>
  <si>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</si>
  <si>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</si>
  <si>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</si>
  <si>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</si>
  <si>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</si>
  <si>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</si>
  <si>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</si>
  <si>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</si>
  <si>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</si>
  <si>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</si>
  <si>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</si>
  <si>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</si>
  <si>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</si>
  <si>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</si>
  <si>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</si>
  <si>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</si>
  <si>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</si>
  <si>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</si>
  <si>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</si>
  <si>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</si>
  <si>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</si>
  <si>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</si>
  <si>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</si>
  <si>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</si>
  <si>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</si>
  <si>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</si>
  <si>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</si>
  <si>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</si>
  <si>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</si>
  <si>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</si>
  <si>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</si>
  <si>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</si>
  <si>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</si>
  <si>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</si>
  <si>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</si>
  <si>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</si>
  <si>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</si>
  <si>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</si>
  <si>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</si>
  <si>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</si>
  <si>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</si>
  <si>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</si>
  <si>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</si>
  <si>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</si>
  <si>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</si>
  <si>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</si>
  <si>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Job2</t>
  </si>
  <si>
    <t>Job3</t>
  </si>
  <si>
    <t>Row Labels</t>
  </si>
  <si>
    <t>$C$3:$C$5 by</t>
  </si>
  <si>
    <t>(All)</t>
  </si>
  <si>
    <t>Hourly wage</t>
  </si>
  <si>
    <t>Hours per week</t>
  </si>
  <si>
    <t>Monthly wage</t>
  </si>
  <si>
    <t>Target savings</t>
  </si>
  <si>
    <t>Current savings</t>
  </si>
  <si>
    <t>Months left</t>
  </si>
  <si>
    <t>$M$4</t>
  </si>
  <si>
    <t>$M$9</t>
  </si>
  <si>
    <t>w1</t>
  </si>
  <si>
    <t>Created by Matěj Škerko on 10/27/2025
Modified by Matěj Škerko on 10/27/2025</t>
  </si>
  <si>
    <t>w2</t>
  </si>
  <si>
    <t>Created by Matěj Škerko on 10/27/2025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</si>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</sst>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  <numFmt numFmtId="167" formatCode="_([$€-2]\ * #,##0_);_([$€-2]\ * \(#,##0\);_([$€-2]\ * &quot;-&quot;??_);_(@_)"/>
    <numFmt numFmtId="168" formatCode="_([$€-2]\ * #,##0.00_);_([$€-2]\ * \(#,##0.00\);_([$€-2]\ 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7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1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2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vertical="top" wrapText="1"/>
    </xf>
    <xf numFmtId="168" fontId="0" fillId="0" borderId="0" xfId="0" applyNumberFormat="1"/>
    <xf numFmtId="0" fontId="0" fillId="5" borderId="0" xfId="0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Sheet1!$B$2:$B$397</c:f>
              <c:numCache>
                <c:formatCode>General</c:formatCode>
                <c:ptCount val="39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A-4998-A18F-3EBBB3BEC6A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Sheet1!$A$2:$A$397</c:f>
              <c:numCache>
                <c:formatCode>[$-409]d\-mmm;@</c:formatCode>
                <c:ptCount val="3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</c:numCache>
            </c:numRef>
          </c:cat>
          <c:val>
            <c:numRef>
              <c:f>Sheet1!$C$2:$C$397</c:f>
              <c:numCache>
                <c:formatCode>General</c:formatCode>
                <c:ptCount val="39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A-4998-A18F-3EBBB3BEC6A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Sheet1!$A$2:$A$397</c:f>
              <c:numCache>
                <c:formatCode>[$-409]d\-mmm;@</c:formatCode>
                <c:ptCount val="3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</c:numCache>
            </c:numRef>
          </c:cat>
          <c:val>
            <c:numRef>
              <c:f>Sheet1!$D$2:$D$397</c:f>
              <c:numCache>
                <c:formatCode>General</c:formatCode>
                <c:ptCount val="39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DA-4998-A18F-3EBBB3BEC6A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Sheet1!$A$2:$A$397</c:f>
              <c:numCache>
                <c:formatCode>[$-409]d\-mmm;@</c:formatCode>
                <c:ptCount val="3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</c:numCache>
            </c:numRef>
          </c:cat>
          <c:val>
            <c:numRef>
              <c:f>Sheet1!$E$2:$E$397</c:f>
              <c:numCache>
                <c:formatCode>General</c:formatCode>
                <c:ptCount val="39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DA-4998-A18F-3EBBB3BE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754384"/>
        <c:axId val="705743280"/>
      </c:lineChart>
      <c:catAx>
        <c:axId val="70575438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43280"/>
        <c:crosses val="autoZero"/>
        <c:auto val="1"/>
        <c:lblAlgn val="ctr"/>
        <c:lblOffset val="100"/>
        <c:noMultiLvlLbl val="0"/>
      </c:catAx>
      <c:valAx>
        <c:axId val="7057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5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</xdr:row>
      <xdr:rowOff>148590</xdr:rowOff>
    </xdr:from>
    <xdr:to>
      <xdr:col>16</xdr:col>
      <xdr:colOff>99060</xdr:colOff>
      <xdr:row>21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4C8D1-27C4-C6E2-25CA-EB7DA6CA4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ěj Škerko" refreshedDate="45955.932323842593" createdVersion="8" refreshedVersion="8" minRefreshableVersion="3" recordCount="3" xr:uid="{977528D0-10BD-48D8-B0F5-49B99F246402}">
  <cacheSource type="scenario"/>
  <cacheFields count="8">
    <cacheField name="$C$3:$C$5" numFmtId="0">
      <sharedItems containsNonDate="0" count="3">
        <s v="Job1"/>
        <s v="Job2"/>
        <s v="Job3"/>
      </sharedItems>
    </cacheField>
    <cacheField name="$C$3:$C$5 by" numFmtId="0">
      <sharedItems containsNonDate="0" count="1">
        <s v="Matěj Škerko"/>
      </sharedItems>
    </cacheField>
    <cacheField name="res Year0" numFmtId="0">
      <sharedItems containsSemiMixedTypes="0" containsNonDate="0" containsString="0" containsNumber="1" minValue="110000.00000000001" maxValue="110000.00000000001" count="1">
        <n v="110000.00000000001"/>
      </sharedItems>
    </cacheField>
    <cacheField name="res Year1" numFmtId="0">
      <sharedItems containsSemiMixedTypes="0" containsNonDate="0" containsString="0" containsNumber="1" minValue="118342.87994191605" maxValue="118342.87994191605" count="1">
        <n v="118342.87994191605"/>
      </sharedItems>
    </cacheField>
    <cacheField name="res Year2" numFmtId="0">
      <sharedItems containsSemiMixedTypes="0" containsNonDate="0" containsString="0" containsNumber="1" minValue="127318.52029951598" maxValue="127318.52029951598" count="1">
        <n v="127318.52029951598"/>
      </sharedItems>
    </cacheField>
    <cacheField name="res Year3" numFmtId="0">
      <sharedItems containsSemiMixedTypes="0" containsNonDate="0" containsString="0" containsNumber="1" minValue="136974.91238352744" maxValue="136974.91238352744" count="1">
        <n v="136974.91238352744"/>
      </sharedItems>
    </cacheField>
    <cacheField name="res Year4" numFmtId="0">
      <sharedItems containsSemiMixedTypes="0" containsNonDate="0" containsString="0" containsNumber="1" minValue="147363.6873750751" maxValue="147363.6873750751" count="1">
        <n v="147363.6873750751"/>
      </sharedItems>
    </cacheField>
    <cacheField name="res TotalSalary" numFmtId="0">
      <sharedItems containsSemiMixedTypes="0" containsNonDate="0" containsString="0" containsNumber="1" minValue="640000.00000003458" maxValue="640000.00000003458" count="1">
        <n v="640000.000000034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50E4C-BB7B-4D70-8036-8E784A0BA2A3}" name="PivotTable1" cacheId="0" applyNumberFormats="0" applyBorderFormats="0" applyFontFormats="0" applyPatternFormats="0" applyAlignmentFormats="0" applyWidthHeightFormats="1" dataCaption="Result Cells" updatedVersion="8" minRefreshableVersion="3" useAutoFormatting="1" rowGrandTotals="0" colGrandTotals="0" itemPrintTitles="1" createdVersion="8" indent="0" outline="1" outlineData="1" multipleFieldFilters="0" fieldListSortAscending="1">
  <location ref="A3:G6" firstHeaderRow="0" firstDataRow="1" firstDataCol="1" rowPageCount="1" colPageCount="1"/>
  <pivotFields count="8">
    <pivotField axis="axisRow" showAll="0" defaultSubtotal="0">
      <items count="3">
        <item x="0"/>
        <item x="1"/>
        <item x="2"/>
      </items>
    </pivotField>
    <pivotField axis="axisPage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Year0" fld="2" baseField="0" baseItem="0"/>
    <dataField name="Year1" fld="3" baseField="0" baseItem="0"/>
    <dataField name="Year2" fld="4" baseField="0" baseItem="0"/>
    <dataField name="Year3" fld="5" baseField="0" baseItem="0"/>
    <dataField name="Year4" fld="6" baseField="0" baseItem="0"/>
    <dataField name="Total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2AEDB-B19D-41D2-ADB4-792546A68856}" name="Table2" displayName="Table2" ref="A1:E397" totalsRowShown="0">
  <autoFilter ref="A1:E397" xr:uid="{D7C2AEDB-B19D-41D2-ADB4-792546A68856}"/>
  <tableColumns count="5">
    <tableColumn id="1" xr3:uid="{130B2221-F999-4864-B47F-9E2E826ED3D4}" name="Date" dataDxfId="5"/>
    <tableColumn id="2" xr3:uid="{57D00F4B-0A6D-43EE-9861-44FADB41D6C8}" name="Job Count"/>
    <tableColumn id="3" xr3:uid="{C8DADE5B-AC14-4DC9-A2DC-5E0F2168BD0A}" name="Forecast(Job Count)">
      <calculatedColumnFormula>_xlfn.FORECAST.ETS(A2,$B$2:$B$366,$A$2:$A$366,1,1)</calculatedColumnFormula>
    </tableColumn>
    <tableColumn id="4" xr3:uid="{198662AE-BFA6-44E1-A20F-7DE5E20E23E1}" name="Lower Confidence Bound(Job Count)" dataDxfId="4">
      <calculatedColumnFormula>C2-_xlfn.FORECAST.ETS.CONFINT(A2,$B$2:$B$366,$A$2:$A$366,0.95,1,1)</calculatedColumnFormula>
    </tableColumn>
    <tableColumn id="5" xr3:uid="{0D9BEA8A-89D7-4A9C-A335-64D71028E9B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17F-6A26-4F29-B41B-0B7E8A9997DA}">
  <dimension ref="A1:E397"/>
  <sheetViews>
    <sheetView workbookViewId="0">
      <selection activeCell="M1" sqref="M1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7" si="0">_xlfn.FORECAST.ETS(A367,$B$2:$B$366,$A$2:$A$366,1,1)</f>
        <v>44.490739333500457</v>
      </c>
      <c r="D367" s="17">
        <f t="shared" ref="D367:D397" si="1">C367-_xlfn.FORECAST.ETS.CONFINT(A367,$B$2:$B$366,$A$2:$A$366,0.95,1,1)</f>
        <v>-2.1006233086081778</v>
      </c>
      <c r="E367" s="17">
        <f t="shared" ref="E367:E397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36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BD04-07F2-44B9-BBBD-9DB27C419F65}">
  <dimension ref="A1:G6"/>
  <sheetViews>
    <sheetView workbookViewId="0"/>
  </sheetViews>
  <sheetFormatPr defaultRowHeight="14.4" x14ac:dyDescent="0.3"/>
  <cols>
    <col min="1" max="1" width="12.44140625" bestFit="1" customWidth="1"/>
    <col min="2" max="2" width="7" bestFit="1" customWidth="1"/>
    <col min="3" max="6" width="12" bestFit="1" customWidth="1"/>
    <col min="7" max="7" width="10.33203125" bestFit="1" customWidth="1"/>
  </cols>
  <sheetData>
    <row r="1" spans="1:7" x14ac:dyDescent="0.3">
      <c r="A1" s="65" t="s">
        <v>82</v>
      </c>
      <c r="B1" t="s">
        <v>83</v>
      </c>
    </row>
    <row r="3" spans="1:7" x14ac:dyDescent="0.3">
      <c r="A3" s="65" t="s">
        <v>81</v>
      </c>
      <c r="B3" t="s">
        <v>31</v>
      </c>
      <c r="C3" t="s">
        <v>36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3">
      <c r="A4" s="66" t="s">
        <v>78</v>
      </c>
      <c r="B4">
        <v>110000.00000000001</v>
      </c>
      <c r="C4">
        <v>118342.87994191605</v>
      </c>
      <c r="D4">
        <v>127318.52029951598</v>
      </c>
      <c r="E4">
        <v>136974.91238352744</v>
      </c>
      <c r="F4">
        <v>147363.6873750751</v>
      </c>
      <c r="G4">
        <v>640000.00000003458</v>
      </c>
    </row>
    <row r="5" spans="1:7" x14ac:dyDescent="0.3">
      <c r="A5" s="66" t="s">
        <v>79</v>
      </c>
      <c r="B5">
        <v>110000.00000000001</v>
      </c>
      <c r="C5">
        <v>118342.87994191605</v>
      </c>
      <c r="D5">
        <v>127318.52029951598</v>
      </c>
      <c r="E5">
        <v>136974.91238352744</v>
      </c>
      <c r="F5">
        <v>147363.6873750751</v>
      </c>
      <c r="G5">
        <v>640000.00000003458</v>
      </c>
    </row>
    <row r="6" spans="1:7" x14ac:dyDescent="0.3">
      <c r="A6" s="66" t="s">
        <v>80</v>
      </c>
      <c r="B6">
        <v>110000.00000000001</v>
      </c>
      <c r="C6">
        <v>118342.87994191605</v>
      </c>
      <c r="D6">
        <v>127318.52029951598</v>
      </c>
      <c r="E6">
        <v>136974.91238352744</v>
      </c>
      <c r="F6">
        <v>147363.6873750751</v>
      </c>
      <c r="G6">
        <v>640000.00000003458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D99F-B7EA-4B61-B22D-B8B24951D7E9}">
  <sheetPr>
    <outlinePr summaryBelow="0"/>
  </sheetPr>
  <dimension ref="B1:G11"/>
  <sheetViews>
    <sheetView showGridLines="0" tabSelected="1" workbookViewId="0"/>
  </sheetViews>
  <sheetFormatPr defaultRowHeight="14.4" outlineLevelRow="1" outlineLevelCol="1" x14ac:dyDescent="0.3"/>
  <cols>
    <col min="3" max="3" width="5.441406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92</v>
      </c>
      <c r="F3" s="28" t="s">
        <v>94</v>
      </c>
      <c r="G3" s="28" t="s">
        <v>96</v>
      </c>
    </row>
    <row r="4" spans="2:7" ht="64.8" hidden="1" outlineLevel="1" x14ac:dyDescent="0.3">
      <c r="B4" s="74"/>
      <c r="C4" s="74"/>
      <c r="D4" s="71"/>
      <c r="E4" s="75" t="s">
        <v>93</v>
      </c>
      <c r="F4" s="75" t="s">
        <v>95</v>
      </c>
      <c r="G4" s="75" t="s">
        <v>95</v>
      </c>
    </row>
    <row r="5" spans="2:7" x14ac:dyDescent="0.3">
      <c r="B5" s="25" t="s">
        <v>23</v>
      </c>
      <c r="C5" s="25"/>
      <c r="D5" s="73"/>
      <c r="E5" s="73"/>
      <c r="F5" s="73"/>
      <c r="G5" s="73"/>
    </row>
    <row r="6" spans="2:7" outlineLevel="1" x14ac:dyDescent="0.3">
      <c r="B6" s="74"/>
      <c r="C6" s="74" t="s">
        <v>90</v>
      </c>
      <c r="D6" s="71">
        <v>1760</v>
      </c>
      <c r="E6" s="77">
        <v>1200</v>
      </c>
      <c r="F6" s="77">
        <v>800</v>
      </c>
      <c r="G6" s="77">
        <v>1000</v>
      </c>
    </row>
    <row r="7" spans="2:7" x14ac:dyDescent="0.3">
      <c r="B7" s="25" t="s">
        <v>25</v>
      </c>
      <c r="C7" s="25"/>
      <c r="D7" s="73"/>
      <c r="E7" s="73"/>
      <c r="F7" s="73"/>
      <c r="G7" s="73"/>
    </row>
    <row r="8" spans="2:7" ht="15" outlineLevel="1" thickBot="1" x14ac:dyDescent="0.35">
      <c r="B8" s="26"/>
      <c r="C8" s="26" t="s">
        <v>91</v>
      </c>
      <c r="D8" s="72">
        <v>5.6818181818181799</v>
      </c>
      <c r="E8" s="72">
        <v>5.6818181818181799</v>
      </c>
      <c r="F8" s="72">
        <v>5.6818181818181799</v>
      </c>
      <c r="G8" s="72">
        <v>5.6818181818181799</v>
      </c>
    </row>
    <row r="9" spans="2:7" x14ac:dyDescent="0.3">
      <c r="B9" t="s">
        <v>26</v>
      </c>
    </row>
    <row r="10" spans="2:7" x14ac:dyDescent="0.3">
      <c r="B10" t="s">
        <v>27</v>
      </c>
    </row>
    <row r="11" spans="2:7" x14ac:dyDescent="0.3">
      <c r="B1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M22"/>
  <sheetViews>
    <sheetView zoomScaleNormal="100" workbookViewId="0">
      <selection activeCell="M9" sqref="M9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  <col min="12" max="12" width="13.77734375" bestFit="1" customWidth="1"/>
    <col min="13" max="13" width="11.5546875" bestFit="1" customWidth="1"/>
  </cols>
  <sheetData>
    <row r="1" spans="2:13" ht="15" thickBot="1" x14ac:dyDescent="0.35"/>
    <row r="2" spans="2:13" x14ac:dyDescent="0.3">
      <c r="B2" s="69" t="s">
        <v>4</v>
      </c>
      <c r="C2" s="70"/>
      <c r="E2" s="40" t="s">
        <v>30</v>
      </c>
      <c r="F2" s="41" t="s">
        <v>0</v>
      </c>
      <c r="G2" s="41" t="s">
        <v>1</v>
      </c>
      <c r="H2" s="42" t="s">
        <v>2</v>
      </c>
      <c r="L2" s="7" t="s">
        <v>84</v>
      </c>
      <c r="M2" s="67">
        <v>11</v>
      </c>
    </row>
    <row r="3" spans="2:13" x14ac:dyDescent="0.3">
      <c r="B3" s="1" t="s">
        <v>0</v>
      </c>
      <c r="C3" s="45">
        <v>120000</v>
      </c>
      <c r="E3" s="43" t="s">
        <v>17</v>
      </c>
      <c r="F3" s="38">
        <v>100000</v>
      </c>
      <c r="G3" s="39">
        <v>0.1</v>
      </c>
      <c r="H3" s="44">
        <v>1.4999999999999999E-2</v>
      </c>
      <c r="L3" s="7" t="s">
        <v>85</v>
      </c>
      <c r="M3" s="76">
        <v>40</v>
      </c>
    </row>
    <row r="4" spans="2:13" x14ac:dyDescent="0.3">
      <c r="B4" s="1" t="s">
        <v>1</v>
      </c>
      <c r="C4" s="46">
        <v>0.05</v>
      </c>
      <c r="E4" s="43" t="s">
        <v>19</v>
      </c>
      <c r="F4" s="38">
        <v>80000</v>
      </c>
      <c r="G4" s="39">
        <v>0.15</v>
      </c>
      <c r="H4" s="44">
        <v>1.2E-2</v>
      </c>
      <c r="L4" s="7" t="s">
        <v>86</v>
      </c>
      <c r="M4" s="67">
        <v>1760</v>
      </c>
    </row>
    <row r="5" spans="2:13" ht="15" thickBot="1" x14ac:dyDescent="0.35">
      <c r="B5" s="3" t="s">
        <v>2</v>
      </c>
      <c r="C5" s="47">
        <v>8.0000000000000002E-3</v>
      </c>
      <c r="E5" s="57" t="s">
        <v>21</v>
      </c>
      <c r="F5" s="58">
        <v>120000</v>
      </c>
      <c r="G5" s="59">
        <v>0.05</v>
      </c>
      <c r="H5" s="60">
        <v>8.0000000000000002E-3</v>
      </c>
      <c r="L5" s="7" t="s">
        <v>88</v>
      </c>
      <c r="M5" s="67">
        <v>0</v>
      </c>
    </row>
    <row r="6" spans="2:13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  <c r="L6" s="7" t="s">
        <v>87</v>
      </c>
      <c r="M6" s="68">
        <v>10000</v>
      </c>
    </row>
    <row r="7" spans="2:13" x14ac:dyDescent="0.3">
      <c r="B7" s="69" t="s">
        <v>5</v>
      </c>
      <c r="C7" s="70"/>
      <c r="L7" s="7"/>
    </row>
    <row r="8" spans="2:13" x14ac:dyDescent="0.3">
      <c r="B8" s="5" t="s">
        <v>6</v>
      </c>
      <c r="C8" s="6" t="s">
        <v>7</v>
      </c>
    </row>
    <row r="9" spans="2:13" x14ac:dyDescent="0.3">
      <c r="B9" s="4">
        <v>0</v>
      </c>
      <c r="C9" s="2">
        <f>(base*(1+raise)^B9)*(1+bonus)</f>
        <v>126000</v>
      </c>
      <c r="L9" s="7" t="s">
        <v>89</v>
      </c>
      <c r="M9" s="17">
        <f>M6/(M2*M3*4)</f>
        <v>5.6818181818181817</v>
      </c>
    </row>
    <row r="10" spans="2:13" x14ac:dyDescent="0.3">
      <c r="B10" s="4">
        <v>1</v>
      </c>
      <c r="C10" s="2">
        <f>(base*(1+raise)^B10)*(1+bonus)</f>
        <v>127008</v>
      </c>
      <c r="L10" s="7"/>
    </row>
    <row r="11" spans="2:13" x14ac:dyDescent="0.3">
      <c r="B11" s="4">
        <v>2</v>
      </c>
      <c r="C11" s="2">
        <f>(base*(1+raise)^B11)*(1+bonus)</f>
        <v>128024.06400000001</v>
      </c>
      <c r="L11" s="7"/>
    </row>
    <row r="12" spans="2:13" x14ac:dyDescent="0.3">
      <c r="B12" s="4">
        <v>3</v>
      </c>
      <c r="C12" s="2">
        <f>(base*(1+raise)^B12)*(1+bonus)</f>
        <v>129048.25651200002</v>
      </c>
      <c r="L12" s="7"/>
    </row>
    <row r="13" spans="2:13" ht="15" thickBot="1" x14ac:dyDescent="0.35">
      <c r="B13" s="36">
        <v>4</v>
      </c>
      <c r="C13" s="37">
        <f>(base*(1+raise)^B13)*(1+bonus)</f>
        <v>130080.64256409602</v>
      </c>
      <c r="L13" s="7"/>
    </row>
    <row r="14" spans="2:13" ht="15.6" thickTop="1" thickBot="1" x14ac:dyDescent="0.35">
      <c r="B14" s="34" t="s">
        <v>3</v>
      </c>
      <c r="C14" s="35">
        <f>SUM(C9:C13)</f>
        <v>640160.96307609603</v>
      </c>
      <c r="L14" s="7"/>
    </row>
    <row r="15" spans="2:13" x14ac:dyDescent="0.3">
      <c r="L15" s="7"/>
    </row>
    <row r="16" spans="2:13" x14ac:dyDescent="0.3">
      <c r="L16" s="7"/>
    </row>
    <row r="17" spans="12:12" x14ac:dyDescent="0.3">
      <c r="L17" s="7"/>
    </row>
    <row r="18" spans="12:12" x14ac:dyDescent="0.3">
      <c r="L18" s="7"/>
    </row>
    <row r="19" spans="12:12" x14ac:dyDescent="0.3">
      <c r="L19" s="7"/>
    </row>
    <row r="20" spans="12:12" x14ac:dyDescent="0.3">
      <c r="L20" s="7"/>
    </row>
    <row r="21" spans="12:12" x14ac:dyDescent="0.3">
      <c r="L21" s="7"/>
    </row>
    <row r="22" spans="12:12" x14ac:dyDescent="0.3">
      <c r="L22" s="7"/>
    </row>
  </sheetData>
  <scenarios current="0" sqref="M9">
    <scenario name="w1" locked="1" count="1" user="Matěj Škerko" comment="Created by Matěj Škerko on 10/27/2025_x000a_Modified by Matěj Škerko on 10/27/2025">
      <inputCells r="M4" val="1200" numFmtId="167"/>
    </scenario>
    <scenario name="w2" locked="1" count="1" user="Matěj Škerko" comment="Created by Matěj Škerko on 10/27/2025">
      <inputCells r="M4" val="800" numFmtId="167"/>
    </scenario>
    <scenario name="w3" locked="1" count="1" user="Matěj Škerko" comment="Created by Matěj Škerko on 10/27/2025">
      <inputCells r="M4" val="1000" numFmtId="167"/>
    </scenario>
  </scenarios>
  <mergeCells count="2">
    <mergeCell ref="B2:C2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Sheet1</vt:lpstr>
      <vt:lpstr>Forecast_Original</vt:lpstr>
      <vt:lpstr>Forecast_Final</vt:lpstr>
      <vt:lpstr>Scenario PivotTable</vt:lpstr>
      <vt:lpstr>Scenario Summary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Matěj Škerko</cp:lastModifiedBy>
  <dcterms:created xsi:type="dcterms:W3CDTF">2024-08-08T18:34:47Z</dcterms:created>
  <dcterms:modified xsi:type="dcterms:W3CDTF">2025-10-27T19:18:16Z</dcterms:modified>
</cp:coreProperties>
</file>